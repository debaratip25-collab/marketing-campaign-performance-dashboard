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KPIs" sheetId="2" state="visible" r:id="rId2"/>
    <sheet xmlns:r="http://schemas.openxmlformats.org/officeDocument/2006/relationships" name="Platform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Audience Analysis" sheetId="5" state="visible" r:id="rId5"/>
    <sheet xmlns:r="http://schemas.openxmlformats.org/officeDocument/2006/relationships" name="Monthly Trend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C63FF"/>
      <sz val="18"/>
    </font>
    <font>
      <name val="Calibri"/>
      <color rgb="00888888"/>
      <sz val="10"/>
    </font>
    <font>
      <name val="Calibri"/>
      <color rgb="00FFFFFF"/>
      <sz val="10"/>
    </font>
    <font>
      <name val="Calibri"/>
      <b val="1"/>
      <color rgb="00FFFFFF"/>
      <sz val="22"/>
    </font>
    <font>
      <name val="Calibri"/>
      <b val="1"/>
      <color rgb="002D2F7E"/>
      <sz val="13"/>
    </font>
    <font>
      <name val="Calibri"/>
      <b val="1"/>
      <color rgb="002D2F7E"/>
      <sz val="14"/>
    </font>
    <font>
      <b val="1"/>
      <color rgb="002D2F7E"/>
    </font>
  </fonts>
  <fills count="15">
    <fill>
      <patternFill/>
    </fill>
    <fill>
      <patternFill patternType="gray125"/>
    </fill>
    <fill>
      <patternFill patternType="solid">
        <fgColor rgb="002D2F7E"/>
      </patternFill>
    </fill>
    <fill>
      <patternFill patternType="solid">
        <fgColor rgb="00EEF2FF"/>
      </patternFill>
    </fill>
    <fill>
      <patternFill patternType="solid">
        <fgColor rgb="006C63FF"/>
      </patternFill>
    </fill>
    <fill>
      <patternFill patternType="solid">
        <fgColor rgb="001A1D2E"/>
      </patternFill>
    </fill>
    <fill>
      <patternFill patternType="solid">
        <fgColor rgb="0043E97B"/>
      </patternFill>
    </fill>
    <fill>
      <patternFill patternType="solid">
        <fgColor rgb="00FFD93D"/>
      </patternFill>
    </fill>
    <fill>
      <patternFill patternType="solid">
        <fgColor rgb="004FC3F7"/>
      </patternFill>
    </fill>
    <fill>
      <patternFill patternType="solid">
        <fgColor rgb="00FF6584"/>
      </patternFill>
    </fill>
    <fill>
      <patternFill patternType="solid">
        <fgColor rgb="00FF9F43"/>
      </patternFill>
    </fill>
    <fill>
      <patternFill patternType="solid">
        <fgColor rgb="00A29BFE"/>
      </patternFill>
    </fill>
    <fill>
      <patternFill patternType="solid">
        <fgColor rgb="00FD79A8"/>
      </patternFill>
    </fill>
    <fill>
      <patternFill patternType="solid">
        <fgColor rgb="003E4191"/>
      </patternFill>
    </fill>
    <fill>
      <patternFill patternType="solid">
        <fgColor rgb="00DDEEFF"/>
      </patternFill>
    </fill>
  </fills>
  <borders count="3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  <border>
      <left style="hair">
        <color rgb="00C5CAE9"/>
      </left>
      <right style="hair">
        <color rgb="00C5CAE9"/>
      </right>
      <top style="hair">
        <color rgb="00C5CAE9"/>
      </top>
      <bottom style="hair">
        <color rgb="00C5CAE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2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4" fontId="5" fillId="4" borderId="0" applyAlignment="1" pivotButton="0" quotePrefix="0" xfId="0">
      <alignment horizontal="center" vertical="center"/>
    </xf>
    <xf numFmtId="4" fontId="5" fillId="6" borderId="0" applyAlignment="1" pivotButton="0" quotePrefix="0" xfId="0">
      <alignment horizontal="center" vertical="center"/>
    </xf>
    <xf numFmtId="2" fontId="5" fillId="7" borderId="0" applyAlignment="1" pivotButton="0" quotePrefix="0" xfId="0">
      <alignment horizontal="center" vertical="center"/>
    </xf>
    <xf numFmtId="2" fontId="5" fillId="8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3" fontId="5" fillId="9" borderId="0" applyAlignment="1" pivotButton="0" quotePrefix="0" xfId="0">
      <alignment horizontal="center" vertical="center"/>
    </xf>
    <xf numFmtId="2" fontId="5" fillId="10" borderId="0" applyAlignment="1" pivotButton="0" quotePrefix="0" xfId="0">
      <alignment horizontal="center" vertical="center"/>
    </xf>
    <xf numFmtId="3" fontId="5" fillId="11" borderId="0" applyAlignment="1" pivotButton="0" quotePrefix="0" xfId="0">
      <alignment horizontal="center" vertical="center"/>
    </xf>
    <xf numFmtId="4" fontId="5" fillId="1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4" fontId="8" fillId="14" borderId="1" pivotButton="0" quotePrefix="0" xfId="0"/>
    <xf numFmtId="2" fontId="8" fillId="14" borderId="1" pivotButton="0" quotePrefix="0" xfId="0"/>
    <xf numFmtId="3" fontId="8" fillId="14" borderId="1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vs Total Spend by Platform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'Platform Analysis'!B2</f>
            </strRef>
          </tx>
          <spPr>
            <a:solidFill xmlns:a="http://schemas.openxmlformats.org/drawingml/2006/main">
              <a:srgbClr val="6C63FF"/>
            </a:solidFill>
            <a:ln xmlns:a="http://schemas.openxmlformats.org/drawingml/2006/main">
              <a:prstDash val="solid"/>
            </a:ln>
          </spPr>
          <cat>
            <numRef>
              <f>'Platform Analysis'!$A$3:$A$8</f>
            </numRef>
          </cat>
          <val>
            <numRef>
              <f>'Platform Analysis'!$B$3:$B$8</f>
            </numRef>
          </val>
        </ser>
        <ser>
          <idx val="1"/>
          <order val="1"/>
          <tx>
            <strRef>
              <f>'Platform Analysis'!C2</f>
            </strRef>
          </tx>
          <spPr>
            <a:solidFill xmlns:a="http://schemas.openxmlformats.org/drawingml/2006/main">
              <a:srgbClr val="43E97B"/>
            </a:solidFill>
            <a:ln xmlns:a="http://schemas.openxmlformats.org/drawingml/2006/main">
              <a:prstDash val="solid"/>
            </a:ln>
          </spPr>
          <cat>
            <numRef>
              <f>'Platform Analysis'!$A$3:$A$8</f>
            </numRef>
          </cat>
          <val>
            <numRef>
              <f>'Platform Analysis'!$C$3:$C$8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ROI % by Platform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'Platform Analysis'!D2</f>
            </strRef>
          </tx>
          <spPr>
            <a:solidFill xmlns:a="http://schemas.openxmlformats.org/drawingml/2006/main">
              <a:srgbClr val="FFD93D"/>
            </a:solidFill>
            <a:ln xmlns:a="http://schemas.openxmlformats.org/drawingml/2006/main">
              <a:prstDash val="solid"/>
            </a:ln>
          </spPr>
          <cat>
            <numRef>
              <f>'Platform Analysis'!$A$3:$A$8</f>
            </numRef>
          </cat>
          <val>
            <numRef>
              <f>'Platform Analysis'!$D$3:$D$8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Analysis'!$A$3:$A$7</f>
            </numRef>
          </cat>
          <val>
            <numRef>
              <f>'Region Analysis'!$D$3:$D$7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ROI % by Audience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'Audience Analysis'!C2</f>
            </strRef>
          </tx>
          <spPr>
            <a:solidFill xmlns:a="http://schemas.openxmlformats.org/drawingml/2006/main">
              <a:srgbClr val="6C63FF"/>
            </a:solidFill>
            <a:ln xmlns:a="http://schemas.openxmlformats.org/drawingml/2006/main">
              <a:prstDash val="solid"/>
            </a:ln>
          </spPr>
          <cat>
            <numRef>
              <f>'Audience Analysis'!$A$3:$A$7</f>
            </numRef>
          </cat>
          <val>
            <numRef>
              <f>'Audience Analysis'!$C$3:$C$7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Marketing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Trends'!B2</f>
            </strRef>
          </tx>
          <spPr>
            <a:ln xmlns:a="http://schemas.openxmlformats.org/drawingml/2006/main">
              <a:solidFill>
                <a:srgbClr val="6C63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Trends'!$A$3:$A$12</f>
            </numRef>
          </cat>
          <val>
            <numRef>
              <f>'Monthly Trends'!$B$3:$B$12</f>
            </numRef>
          </val>
        </ser>
        <ser>
          <idx val="1"/>
          <order val="1"/>
          <tx>
            <strRef>
              <f>'Monthly Trends'!C2</f>
            </strRef>
          </tx>
          <spPr>
            <a:ln xmlns:a="http://schemas.openxmlformats.org/drawingml/2006/main">
              <a:solidFill>
                <a:srgbClr val="43E97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Trends'!$A$3:$A$12</f>
            </numRef>
          </cat>
          <val>
            <numRef>
              <f>'Monthly Trends'!$C$3:$C$12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11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4" customWidth="1" min="4" max="4"/>
    <col width="18" customWidth="1" min="5" max="5"/>
    <col width="18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9" customWidth="1" min="14" max="14"/>
    <col width="15" customWidth="1" min="15" max="15"/>
    <col width="16" customWidth="1" min="16" max="16"/>
    <col width="18" customWidth="1" min="17" max="17"/>
    <col width="1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2" customWidth="1" min="23" max="23"/>
  </cols>
  <sheetData>
    <row r="1" ht="28" customHeight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Campaign_Type</t>
        </is>
      </c>
      <c r="D1" s="1" t="inlineStr">
        <is>
          <t>Platform</t>
        </is>
      </c>
      <c r="E1" s="1" t="inlineStr">
        <is>
          <t>Campaign_Start_Date</t>
        </is>
      </c>
      <c r="F1" s="1" t="inlineStr">
        <is>
          <t>Campaign_End_Date</t>
        </is>
      </c>
      <c r="G1" s="1" t="inlineStr">
        <is>
          <t>Region</t>
        </is>
      </c>
      <c r="H1" s="1" t="inlineStr">
        <is>
          <t>Audience_Segment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CTR_Pct</t>
        </is>
      </c>
      <c r="L1" s="1" t="inlineStr">
        <is>
          <t>Leads_Generated</t>
        </is>
      </c>
      <c r="M1" s="1" t="inlineStr">
        <is>
          <t>Conversions</t>
        </is>
      </c>
      <c r="N1" s="1" t="inlineStr">
        <is>
          <t>Conversion_Rate_Pct</t>
        </is>
      </c>
      <c r="O1" s="1" t="inlineStr">
        <is>
          <t>Marketing_Spend</t>
        </is>
      </c>
      <c r="P1" s="1" t="inlineStr">
        <is>
          <t>Revenue_Generated</t>
        </is>
      </c>
      <c r="Q1" s="1" t="inlineStr">
        <is>
          <t>ROI_Pct</t>
        </is>
      </c>
      <c r="R1" s="1" t="inlineStr">
        <is>
          <t>CPC</t>
        </is>
      </c>
      <c r="S1" s="1" t="inlineStr">
        <is>
          <t>CPM</t>
        </is>
      </c>
      <c r="T1" s="1" t="inlineStr">
        <is>
          <t>CAC</t>
        </is>
      </c>
      <c r="U1" s="1" t="inlineStr">
        <is>
          <t>Campaign_Duration_Days</t>
        </is>
      </c>
      <c r="V1" s="1" t="inlineStr">
        <is>
          <t>Profit</t>
        </is>
      </c>
      <c r="W1" s="1" t="inlineStr">
        <is>
          <t>Month</t>
        </is>
      </c>
    </row>
    <row r="2">
      <c r="A2" s="2" t="inlineStr">
        <is>
          <t>C001</t>
        </is>
      </c>
      <c r="B2" s="2" t="inlineStr">
        <is>
          <t>Flash Sale Weekend</t>
        </is>
      </c>
      <c r="C2" s="2" t="inlineStr">
        <is>
          <t>Brand Awareness</t>
        </is>
      </c>
      <c r="D2" s="2" t="inlineStr">
        <is>
          <t>YouTube</t>
        </is>
      </c>
      <c r="E2" s="2" t="inlineStr">
        <is>
          <t>2024-04-24</t>
        </is>
      </c>
      <c r="F2" s="2" t="inlineStr">
        <is>
          <t>2024-05-09</t>
        </is>
      </c>
      <c r="G2" s="2" t="inlineStr">
        <is>
          <t>North</t>
        </is>
      </c>
      <c r="H2" s="2" t="inlineStr">
        <is>
          <t>35-44</t>
        </is>
      </c>
      <c r="I2" s="3" t="n">
        <v>307473</v>
      </c>
      <c r="J2" s="3" t="n">
        <v>5718</v>
      </c>
      <c r="K2" s="4" t="n">
        <v>1.86</v>
      </c>
      <c r="L2" s="3" t="n">
        <v>223</v>
      </c>
      <c r="M2" s="3" t="n">
        <v>170</v>
      </c>
      <c r="N2" s="4" t="n">
        <v>2.97</v>
      </c>
      <c r="O2" s="5" t="n">
        <v>138652.1</v>
      </c>
      <c r="P2" s="5" t="n">
        <v>183695.81</v>
      </c>
      <c r="Q2" s="4" t="n">
        <v>32.49</v>
      </c>
      <c r="R2" s="5" t="n">
        <v>24.25</v>
      </c>
      <c r="S2" s="5" t="n">
        <v>450.94</v>
      </c>
      <c r="T2" s="5" t="n">
        <v>815.6</v>
      </c>
      <c r="U2" s="3" t="n">
        <v>15</v>
      </c>
      <c r="V2" s="5" t="n">
        <v>45043.71</v>
      </c>
      <c r="W2" s="2" t="inlineStr">
        <is>
          <t>2024-04</t>
        </is>
      </c>
    </row>
    <row r="3">
      <c r="A3" s="6" t="inlineStr">
        <is>
          <t>C002</t>
        </is>
      </c>
      <c r="B3" s="6" t="inlineStr">
        <is>
          <t>Cross-Sell Upsell</t>
        </is>
      </c>
      <c r="C3" s="6" t="inlineStr">
        <is>
          <t>Seasonal Sale</t>
        </is>
      </c>
      <c r="D3" s="6" t="inlineStr">
        <is>
          <t>Facebook</t>
        </is>
      </c>
      <c r="E3" s="6" t="inlineStr">
        <is>
          <t>2024-04-11</t>
        </is>
      </c>
      <c r="F3" s="6" t="inlineStr">
        <is>
          <t>2024-05-22</t>
        </is>
      </c>
      <c r="G3" s="6" t="inlineStr">
        <is>
          <t>Central</t>
        </is>
      </c>
      <c r="H3" s="6" t="inlineStr">
        <is>
          <t>18-24</t>
        </is>
      </c>
      <c r="I3" s="7" t="n">
        <v>189974</v>
      </c>
      <c r="J3" s="7" t="n">
        <v>6668</v>
      </c>
      <c r="K3" s="8" t="n">
        <v>3.51</v>
      </c>
      <c r="L3" s="7" t="n">
        <v>536</v>
      </c>
      <c r="M3" s="7" t="n">
        <v>238</v>
      </c>
      <c r="N3" s="8" t="n">
        <v>3.57</v>
      </c>
      <c r="O3" s="9" t="n">
        <v>34044.79</v>
      </c>
      <c r="P3" s="9" t="n">
        <v>50494.63</v>
      </c>
      <c r="Q3" s="8" t="n">
        <v>48.32</v>
      </c>
      <c r="R3" s="9" t="n">
        <v>5.11</v>
      </c>
      <c r="S3" s="9" t="n">
        <v>179.21</v>
      </c>
      <c r="T3" s="9" t="n">
        <v>143.05</v>
      </c>
      <c r="U3" s="7" t="n">
        <v>41</v>
      </c>
      <c r="V3" s="9" t="n">
        <v>16449.84</v>
      </c>
      <c r="W3" s="6" t="inlineStr">
        <is>
          <t>2024-04</t>
        </is>
      </c>
    </row>
    <row r="4">
      <c r="A4" s="2" t="inlineStr">
        <is>
          <t>C003</t>
        </is>
      </c>
      <c r="B4" s="2" t="inlineStr">
        <is>
          <t>Retarget Lost Carts</t>
        </is>
      </c>
      <c r="C4" s="2" t="inlineStr">
        <is>
          <t>Retargeting</t>
        </is>
      </c>
      <c r="D4" s="2" t="inlineStr">
        <is>
          <t>LinkedIn</t>
        </is>
      </c>
      <c r="E4" s="2" t="inlineStr">
        <is>
          <t>2024-06-21</t>
        </is>
      </c>
      <c r="F4" s="2" t="inlineStr">
        <is>
          <t>2024-07-04</t>
        </is>
      </c>
      <c r="G4" s="2" t="inlineStr">
        <is>
          <t>East</t>
        </is>
      </c>
      <c r="H4" s="2" t="inlineStr">
        <is>
          <t>25-34</t>
        </is>
      </c>
      <c r="I4" s="3" t="n">
        <v>26078</v>
      </c>
      <c r="J4" s="3" t="n">
        <v>654</v>
      </c>
      <c r="K4" s="4" t="n">
        <v>2.51</v>
      </c>
      <c r="L4" s="3" t="n">
        <v>51</v>
      </c>
      <c r="M4" s="3" t="n">
        <v>31</v>
      </c>
      <c r="N4" s="4" t="n">
        <v>4.74</v>
      </c>
      <c r="O4" s="5" t="n">
        <v>134003.32</v>
      </c>
      <c r="P4" s="5" t="n">
        <v>382091.21</v>
      </c>
      <c r="Q4" s="4" t="n">
        <v>185.14</v>
      </c>
      <c r="R4" s="5" t="n">
        <v>204.9</v>
      </c>
      <c r="S4" s="5" t="n">
        <v>5138.56</v>
      </c>
      <c r="T4" s="5" t="n">
        <v>4322.69</v>
      </c>
      <c r="U4" s="3" t="n">
        <v>13</v>
      </c>
      <c r="V4" s="5" t="n">
        <v>248087.89</v>
      </c>
      <c r="W4" s="2" t="inlineStr">
        <is>
          <t>2024-06</t>
        </is>
      </c>
    </row>
    <row r="5">
      <c r="A5" s="6" t="inlineStr">
        <is>
          <t>C004</t>
        </is>
      </c>
      <c r="B5" s="6" t="inlineStr">
        <is>
          <t>Cross-Sell Upsell</t>
        </is>
      </c>
      <c r="C5" s="6" t="inlineStr">
        <is>
          <t>Brand Awareness</t>
        </is>
      </c>
      <c r="D5" s="6" t="inlineStr">
        <is>
          <t>Email</t>
        </is>
      </c>
      <c r="E5" s="6" t="inlineStr">
        <is>
          <t>2024-05-30</t>
        </is>
      </c>
      <c r="F5" s="6" t="inlineStr">
        <is>
          <t>2024-06-29</t>
        </is>
      </c>
      <c r="G5" s="6" t="inlineStr">
        <is>
          <t>West</t>
        </is>
      </c>
      <c r="H5" s="6" t="inlineStr">
        <is>
          <t>18-24</t>
        </is>
      </c>
      <c r="I5" s="7" t="n">
        <v>47837</v>
      </c>
      <c r="J5" s="7" t="n">
        <v>7352</v>
      </c>
      <c r="K5" s="8" t="n">
        <v>15.37</v>
      </c>
      <c r="L5" s="7" t="n">
        <v>1013</v>
      </c>
      <c r="M5" s="7" t="n">
        <v>492</v>
      </c>
      <c r="N5" s="8" t="n">
        <v>6.69</v>
      </c>
      <c r="O5" s="9" t="n">
        <v>17292.79</v>
      </c>
      <c r="P5" s="9" t="n">
        <v>54520.06</v>
      </c>
      <c r="Q5" s="8" t="n">
        <v>215.28</v>
      </c>
      <c r="R5" s="9" t="n">
        <v>2.35</v>
      </c>
      <c r="S5" s="9" t="n">
        <v>361.49</v>
      </c>
      <c r="T5" s="9" t="n">
        <v>35.15</v>
      </c>
      <c r="U5" s="7" t="n">
        <v>30</v>
      </c>
      <c r="V5" s="9" t="n">
        <v>37227.27</v>
      </c>
      <c r="W5" s="6" t="inlineStr">
        <is>
          <t>2024-05</t>
        </is>
      </c>
    </row>
    <row r="6">
      <c r="A6" s="2" t="inlineStr">
        <is>
          <t>C005</t>
        </is>
      </c>
      <c r="B6" s="2" t="inlineStr">
        <is>
          <t>Growth Hack Sprint</t>
        </is>
      </c>
      <c r="C6" s="2" t="inlineStr">
        <is>
          <t>Product Launch</t>
        </is>
      </c>
      <c r="D6" s="2" t="inlineStr">
        <is>
          <t>Google Ads</t>
        </is>
      </c>
      <c r="E6" s="2" t="inlineStr">
        <is>
          <t>2024-03-24</t>
        </is>
      </c>
      <c r="F6" s="2" t="inlineStr">
        <is>
          <t>2024-04-23</t>
        </is>
      </c>
      <c r="G6" s="2" t="inlineStr">
        <is>
          <t>East</t>
        </is>
      </c>
      <c r="H6" s="2" t="inlineStr">
        <is>
          <t>45-54</t>
        </is>
      </c>
      <c r="I6" s="3" t="n">
        <v>143132</v>
      </c>
      <c r="J6" s="3" t="n">
        <v>7457</v>
      </c>
      <c r="K6" s="4" t="n">
        <v>5.21</v>
      </c>
      <c r="L6" s="3" t="n">
        <v>623</v>
      </c>
      <c r="M6" s="3" t="n">
        <v>258</v>
      </c>
      <c r="N6" s="4" t="n">
        <v>3.46</v>
      </c>
      <c r="O6" s="5" t="n">
        <v>103519.58</v>
      </c>
      <c r="P6" s="5" t="n">
        <v>271629.98</v>
      </c>
      <c r="Q6" s="4" t="n">
        <v>162.39</v>
      </c>
      <c r="R6" s="5" t="n">
        <v>13.88</v>
      </c>
      <c r="S6" s="5" t="n">
        <v>723.25</v>
      </c>
      <c r="T6" s="5" t="n">
        <v>401.24</v>
      </c>
      <c r="U6" s="3" t="n">
        <v>30</v>
      </c>
      <c r="V6" s="5" t="n">
        <v>168110.4</v>
      </c>
      <c r="W6" s="2" t="inlineStr">
        <is>
          <t>2024-03</t>
        </is>
      </c>
    </row>
    <row r="7">
      <c r="A7" s="6" t="inlineStr">
        <is>
          <t>C006</t>
        </is>
      </c>
      <c r="B7" s="6" t="inlineStr">
        <is>
          <t>LinkedIn B2B Push</t>
        </is>
      </c>
      <c r="C7" s="6" t="inlineStr">
        <is>
          <t>Lead Generation</t>
        </is>
      </c>
      <c r="D7" s="6" t="inlineStr">
        <is>
          <t>Email</t>
        </is>
      </c>
      <c r="E7" s="6" t="inlineStr">
        <is>
          <t>2024-05-18</t>
        </is>
      </c>
      <c r="F7" s="6" t="inlineStr">
        <is>
          <t>2024-06-29</t>
        </is>
      </c>
      <c r="G7" s="6" t="inlineStr">
        <is>
          <t>South</t>
        </is>
      </c>
      <c r="H7" s="6" t="inlineStr">
        <is>
          <t>45-54</t>
        </is>
      </c>
      <c r="I7" s="7" t="n">
        <v>24392</v>
      </c>
      <c r="J7" s="7" t="n">
        <v>5478</v>
      </c>
      <c r="K7" s="8" t="n">
        <v>22.46</v>
      </c>
      <c r="L7" s="7" t="n">
        <v>1744</v>
      </c>
      <c r="M7" s="7" t="n">
        <v>790</v>
      </c>
      <c r="N7" s="8" t="n">
        <v>14.42</v>
      </c>
      <c r="O7" s="9" t="n">
        <v>14114.66</v>
      </c>
      <c r="P7" s="9" t="n">
        <v>42797.2</v>
      </c>
      <c r="Q7" s="8" t="n">
        <v>203.21</v>
      </c>
      <c r="R7" s="9" t="n">
        <v>2.58</v>
      </c>
      <c r="S7" s="9" t="n">
        <v>578.66</v>
      </c>
      <c r="T7" s="9" t="n">
        <v>17.87</v>
      </c>
      <c r="U7" s="7" t="n">
        <v>42</v>
      </c>
      <c r="V7" s="9" t="n">
        <v>28682.54</v>
      </c>
      <c r="W7" s="6" t="inlineStr">
        <is>
          <t>2024-05</t>
        </is>
      </c>
    </row>
    <row r="8">
      <c r="A8" s="2" t="inlineStr">
        <is>
          <t>C007</t>
        </is>
      </c>
      <c r="B8" s="2" t="inlineStr">
        <is>
          <t>Win-Back Campaign</t>
        </is>
      </c>
      <c r="C8" s="2" t="inlineStr">
        <is>
          <t>Retargeting</t>
        </is>
      </c>
      <c r="D8" s="2" t="inlineStr">
        <is>
          <t>LinkedIn</t>
        </is>
      </c>
      <c r="E8" s="2" t="inlineStr">
        <is>
          <t>2024-06-10</t>
        </is>
      </c>
      <c r="F8" s="2" t="inlineStr">
        <is>
          <t>2024-06-30</t>
        </is>
      </c>
      <c r="G8" s="2" t="inlineStr">
        <is>
          <t>North</t>
        </is>
      </c>
      <c r="H8" s="2" t="inlineStr">
        <is>
          <t>25-34</t>
        </is>
      </c>
      <c r="I8" s="3" t="n">
        <v>62954</v>
      </c>
      <c r="J8" s="3" t="n">
        <v>1731</v>
      </c>
      <c r="K8" s="4" t="n">
        <v>2.75</v>
      </c>
      <c r="L8" s="3" t="n">
        <v>260</v>
      </c>
      <c r="M8" s="3" t="n">
        <v>128</v>
      </c>
      <c r="N8" s="4" t="n">
        <v>7.39</v>
      </c>
      <c r="O8" s="5" t="n">
        <v>79227.32000000001</v>
      </c>
      <c r="P8" s="5" t="n">
        <v>134045.18</v>
      </c>
      <c r="Q8" s="4" t="n">
        <v>69.19</v>
      </c>
      <c r="R8" s="5" t="n">
        <v>45.77</v>
      </c>
      <c r="S8" s="5" t="n">
        <v>1258.5</v>
      </c>
      <c r="T8" s="5" t="n">
        <v>618.96</v>
      </c>
      <c r="U8" s="3" t="n">
        <v>20</v>
      </c>
      <c r="V8" s="5" t="n">
        <v>54817.86</v>
      </c>
      <c r="W8" s="2" t="inlineStr">
        <is>
          <t>2024-06</t>
        </is>
      </c>
    </row>
    <row r="9">
      <c r="A9" s="6" t="inlineStr">
        <is>
          <t>C008</t>
        </is>
      </c>
      <c r="B9" s="6" t="inlineStr">
        <is>
          <t>YouTube Pre-Roll</t>
        </is>
      </c>
      <c r="C9" s="6" t="inlineStr">
        <is>
          <t>Seasonal Sale</t>
        </is>
      </c>
      <c r="D9" s="6" t="inlineStr">
        <is>
          <t>Email</t>
        </is>
      </c>
      <c r="E9" s="6" t="inlineStr">
        <is>
          <t>2024-10-25</t>
        </is>
      </c>
      <c r="F9" s="6" t="inlineStr">
        <is>
          <t>2024-11-26</t>
        </is>
      </c>
      <c r="G9" s="6" t="inlineStr">
        <is>
          <t>East</t>
        </is>
      </c>
      <c r="H9" s="6" t="inlineStr">
        <is>
          <t>55+</t>
        </is>
      </c>
      <c r="I9" s="7" t="n">
        <v>33723</v>
      </c>
      <c r="J9" s="7" t="n">
        <v>5314</v>
      </c>
      <c r="K9" s="8" t="n">
        <v>15.76</v>
      </c>
      <c r="L9" s="7" t="n">
        <v>1581</v>
      </c>
      <c r="M9" s="7" t="n">
        <v>849</v>
      </c>
      <c r="N9" s="8" t="n">
        <v>15.98</v>
      </c>
      <c r="O9" s="9" t="n">
        <v>8794.25</v>
      </c>
      <c r="P9" s="9" t="n">
        <v>27848.29</v>
      </c>
      <c r="Q9" s="8" t="n">
        <v>216.66</v>
      </c>
      <c r="R9" s="9" t="n">
        <v>1.65</v>
      </c>
      <c r="S9" s="9" t="n">
        <v>260.78</v>
      </c>
      <c r="T9" s="9" t="n">
        <v>10.36</v>
      </c>
      <c r="U9" s="7" t="n">
        <v>32</v>
      </c>
      <c r="V9" s="9" t="n">
        <v>19054.04</v>
      </c>
      <c r="W9" s="6" t="inlineStr">
        <is>
          <t>2024-10</t>
        </is>
      </c>
    </row>
    <row r="10">
      <c r="A10" s="2" t="inlineStr">
        <is>
          <t>C009</t>
        </is>
      </c>
      <c r="B10" s="2" t="inlineStr">
        <is>
          <t>Festive Season Blitz</t>
        </is>
      </c>
      <c r="C10" s="2" t="inlineStr">
        <is>
          <t>Lead Generation</t>
        </is>
      </c>
      <c r="D10" s="2" t="inlineStr">
        <is>
          <t>Facebook</t>
        </is>
      </c>
      <c r="E10" s="2" t="inlineStr">
        <is>
          <t>2024-07-16</t>
        </is>
      </c>
      <c r="F10" s="2" t="inlineStr">
        <is>
          <t>2024-08-16</t>
        </is>
      </c>
      <c r="G10" s="2" t="inlineStr">
        <is>
          <t>West</t>
        </is>
      </c>
      <c r="H10" s="2" t="inlineStr">
        <is>
          <t>55+</t>
        </is>
      </c>
      <c r="I10" s="3" t="n">
        <v>236208</v>
      </c>
      <c r="J10" s="3" t="n">
        <v>14148</v>
      </c>
      <c r="K10" s="4" t="n">
        <v>5.99</v>
      </c>
      <c r="L10" s="3" t="n">
        <v>1179</v>
      </c>
      <c r="M10" s="3" t="n">
        <v>479</v>
      </c>
      <c r="N10" s="4" t="n">
        <v>3.39</v>
      </c>
      <c r="O10" s="5" t="n">
        <v>33775.86</v>
      </c>
      <c r="P10" s="5" t="n">
        <v>46439.25</v>
      </c>
      <c r="Q10" s="4" t="n">
        <v>37.49</v>
      </c>
      <c r="R10" s="5" t="n">
        <v>2.39</v>
      </c>
      <c r="S10" s="5" t="n">
        <v>142.99</v>
      </c>
      <c r="T10" s="5" t="n">
        <v>70.51000000000001</v>
      </c>
      <c r="U10" s="3" t="n">
        <v>31</v>
      </c>
      <c r="V10" s="5" t="n">
        <v>12663.39</v>
      </c>
      <c r="W10" s="2" t="inlineStr">
        <is>
          <t>2024-07</t>
        </is>
      </c>
    </row>
    <row r="11">
      <c r="A11" s="6" t="inlineStr">
        <is>
          <t>C010</t>
        </is>
      </c>
      <c r="B11" s="6" t="inlineStr">
        <is>
          <t>Loyalty Rewards Campaign</t>
        </is>
      </c>
      <c r="C11" s="6" t="inlineStr">
        <is>
          <t>Retargeting</t>
        </is>
      </c>
      <c r="D11" s="6" t="inlineStr">
        <is>
          <t>Email</t>
        </is>
      </c>
      <c r="E11" s="6" t="inlineStr">
        <is>
          <t>2024-08-10</t>
        </is>
      </c>
      <c r="F11" s="6" t="inlineStr">
        <is>
          <t>2024-08-27</t>
        </is>
      </c>
      <c r="G11" s="6" t="inlineStr">
        <is>
          <t>East</t>
        </is>
      </c>
      <c r="H11" s="6" t="inlineStr">
        <is>
          <t>18-24</t>
        </is>
      </c>
      <c r="I11" s="7" t="n">
        <v>39735</v>
      </c>
      <c r="J11" s="7" t="n">
        <v>5026</v>
      </c>
      <c r="K11" s="8" t="n">
        <v>12.65</v>
      </c>
      <c r="L11" s="7" t="n">
        <v>1418</v>
      </c>
      <c r="M11" s="7" t="n">
        <v>664</v>
      </c>
      <c r="N11" s="8" t="n">
        <v>13.21</v>
      </c>
      <c r="O11" s="9" t="n">
        <v>23645.71</v>
      </c>
      <c r="P11" s="9" t="n">
        <v>54821.07</v>
      </c>
      <c r="Q11" s="8" t="n">
        <v>131.84</v>
      </c>
      <c r="R11" s="9" t="n">
        <v>4.7</v>
      </c>
      <c r="S11" s="9" t="n">
        <v>595.09</v>
      </c>
      <c r="T11" s="9" t="n">
        <v>35.61</v>
      </c>
      <c r="U11" s="7" t="n">
        <v>17</v>
      </c>
      <c r="V11" s="9" t="n">
        <v>31175.36</v>
      </c>
      <c r="W11" s="6" t="inlineStr">
        <is>
          <t>2024-08</t>
        </is>
      </c>
    </row>
    <row r="12">
      <c r="A12" s="2" t="inlineStr">
        <is>
          <t>C011</t>
        </is>
      </c>
      <c r="B12" s="2" t="inlineStr">
        <is>
          <t>Retarget Lost Carts</t>
        </is>
      </c>
      <c r="C12" s="2" t="inlineStr">
        <is>
          <t>Retargeting</t>
        </is>
      </c>
      <c r="D12" s="2" t="inlineStr">
        <is>
          <t>Google Ads</t>
        </is>
      </c>
      <c r="E12" s="2" t="inlineStr">
        <is>
          <t>2024-03-19</t>
        </is>
      </c>
      <c r="F12" s="2" t="inlineStr">
        <is>
          <t>2024-04-18</t>
        </is>
      </c>
      <c r="G12" s="2" t="inlineStr">
        <is>
          <t>Central</t>
        </is>
      </c>
      <c r="H12" s="2" t="inlineStr">
        <is>
          <t>55+</t>
        </is>
      </c>
      <c r="I12" s="3" t="n">
        <v>92349</v>
      </c>
      <c r="J12" s="3" t="n">
        <v>6270</v>
      </c>
      <c r="K12" s="4" t="n">
        <v>6.79</v>
      </c>
      <c r="L12" s="3" t="n">
        <v>651</v>
      </c>
      <c r="M12" s="3" t="n">
        <v>345</v>
      </c>
      <c r="N12" s="4" t="n">
        <v>5.5</v>
      </c>
      <c r="O12" s="5" t="n">
        <v>41660.04</v>
      </c>
      <c r="P12" s="5" t="n">
        <v>94678.84</v>
      </c>
      <c r="Q12" s="4" t="n">
        <v>127.27</v>
      </c>
      <c r="R12" s="5" t="n">
        <v>6.64</v>
      </c>
      <c r="S12" s="5" t="n">
        <v>451.12</v>
      </c>
      <c r="T12" s="5" t="n">
        <v>120.75</v>
      </c>
      <c r="U12" s="3" t="n">
        <v>30</v>
      </c>
      <c r="V12" s="5" t="n">
        <v>53018.8</v>
      </c>
      <c r="W12" s="2" t="inlineStr">
        <is>
          <t>2024-03</t>
        </is>
      </c>
    </row>
    <row r="13">
      <c r="A13" s="6" t="inlineStr">
        <is>
          <t>C012</t>
        </is>
      </c>
      <c r="B13" s="6" t="inlineStr">
        <is>
          <t>Back to School Drive</t>
        </is>
      </c>
      <c r="C13" s="6" t="inlineStr">
        <is>
          <t>Retargeting</t>
        </is>
      </c>
      <c r="D13" s="6" t="inlineStr">
        <is>
          <t>Google Ads</t>
        </is>
      </c>
      <c r="E13" s="6" t="inlineStr">
        <is>
          <t>2024-05-03</t>
        </is>
      </c>
      <c r="F13" s="6" t="inlineStr">
        <is>
          <t>2024-06-15</t>
        </is>
      </c>
      <c r="G13" s="6" t="inlineStr">
        <is>
          <t>East</t>
        </is>
      </c>
      <c r="H13" s="6" t="inlineStr">
        <is>
          <t>25-34</t>
        </is>
      </c>
      <c r="I13" s="7" t="n">
        <v>70645</v>
      </c>
      <c r="J13" s="7" t="n">
        <v>3256</v>
      </c>
      <c r="K13" s="8" t="n">
        <v>4.61</v>
      </c>
      <c r="L13" s="7" t="n">
        <v>181</v>
      </c>
      <c r="M13" s="7" t="n">
        <v>141</v>
      </c>
      <c r="N13" s="8" t="n">
        <v>4.33</v>
      </c>
      <c r="O13" s="9" t="n">
        <v>141520.53</v>
      </c>
      <c r="P13" s="9" t="n">
        <v>198387.05</v>
      </c>
      <c r="Q13" s="8" t="n">
        <v>40.18</v>
      </c>
      <c r="R13" s="9" t="n">
        <v>43.46</v>
      </c>
      <c r="S13" s="9" t="n">
        <v>2003.26</v>
      </c>
      <c r="T13" s="9" t="n">
        <v>1003.69</v>
      </c>
      <c r="U13" s="7" t="n">
        <v>43</v>
      </c>
      <c r="V13" s="9" t="n">
        <v>56866.52</v>
      </c>
      <c r="W13" s="6" t="inlineStr">
        <is>
          <t>2024-05</t>
        </is>
      </c>
    </row>
    <row r="14">
      <c r="A14" s="2" t="inlineStr">
        <is>
          <t>C013</t>
        </is>
      </c>
      <c r="B14" s="2" t="inlineStr">
        <is>
          <t>Product Demo Push</t>
        </is>
      </c>
      <c r="C14" s="2" t="inlineStr">
        <is>
          <t>Product Launch</t>
        </is>
      </c>
      <c r="D14" s="2" t="inlineStr">
        <is>
          <t>YouTube</t>
        </is>
      </c>
      <c r="E14" s="2" t="inlineStr">
        <is>
          <t>2024-09-27</t>
        </is>
      </c>
      <c r="F14" s="2" t="inlineStr">
        <is>
          <t>2024-11-11</t>
        </is>
      </c>
      <c r="G14" s="2" t="inlineStr">
        <is>
          <t>Central</t>
        </is>
      </c>
      <c r="H14" s="2" t="inlineStr">
        <is>
          <t>25-34</t>
        </is>
      </c>
      <c r="I14" s="3" t="n">
        <v>643692</v>
      </c>
      <c r="J14" s="3" t="n">
        <v>14225</v>
      </c>
      <c r="K14" s="4" t="n">
        <v>2.21</v>
      </c>
      <c r="L14" s="3" t="n">
        <v>949</v>
      </c>
      <c r="M14" s="3" t="n">
        <v>435</v>
      </c>
      <c r="N14" s="4" t="n">
        <v>3.06</v>
      </c>
      <c r="O14" s="5" t="n">
        <v>212053.61</v>
      </c>
      <c r="P14" s="5" t="n">
        <v>391900.33</v>
      </c>
      <c r="Q14" s="4" t="n">
        <v>84.81</v>
      </c>
      <c r="R14" s="5" t="n">
        <v>14.91</v>
      </c>
      <c r="S14" s="5" t="n">
        <v>329.43</v>
      </c>
      <c r="T14" s="5" t="n">
        <v>487.48</v>
      </c>
      <c r="U14" s="3" t="n">
        <v>45</v>
      </c>
      <c r="V14" s="5" t="n">
        <v>179846.72</v>
      </c>
      <c r="W14" s="2" t="inlineStr">
        <is>
          <t>2024-09</t>
        </is>
      </c>
    </row>
    <row r="15">
      <c r="A15" s="6" t="inlineStr">
        <is>
          <t>C014</t>
        </is>
      </c>
      <c r="B15" s="6" t="inlineStr">
        <is>
          <t>Email Nurture Series</t>
        </is>
      </c>
      <c r="C15" s="6" t="inlineStr">
        <is>
          <t>Retargeting</t>
        </is>
      </c>
      <c r="D15" s="6" t="inlineStr">
        <is>
          <t>YouTube</t>
        </is>
      </c>
      <c r="E15" s="6" t="inlineStr">
        <is>
          <t>2024-03-02</t>
        </is>
      </c>
      <c r="F15" s="6" t="inlineStr">
        <is>
          <t>2024-03-24</t>
        </is>
      </c>
      <c r="G15" s="6" t="inlineStr">
        <is>
          <t>West</t>
        </is>
      </c>
      <c r="H15" s="6" t="inlineStr">
        <is>
          <t>55+</t>
        </is>
      </c>
      <c r="I15" s="7" t="n">
        <v>435612</v>
      </c>
      <c r="J15" s="7" t="n">
        <v>4922</v>
      </c>
      <c r="K15" s="8" t="n">
        <v>1.13</v>
      </c>
      <c r="L15" s="7" t="n">
        <v>117</v>
      </c>
      <c r="M15" s="7" t="n">
        <v>61</v>
      </c>
      <c r="N15" s="8" t="n">
        <v>1.24</v>
      </c>
      <c r="O15" s="9" t="n">
        <v>190277.96</v>
      </c>
      <c r="P15" s="9" t="n">
        <v>241725.96</v>
      </c>
      <c r="Q15" s="8" t="n">
        <v>27.04</v>
      </c>
      <c r="R15" s="9" t="n">
        <v>38.66</v>
      </c>
      <c r="S15" s="9" t="n">
        <v>436.81</v>
      </c>
      <c r="T15" s="9" t="n">
        <v>3119.31</v>
      </c>
      <c r="U15" s="7" t="n">
        <v>22</v>
      </c>
      <c r="V15" s="9" t="n">
        <v>51448</v>
      </c>
      <c r="W15" s="6" t="inlineStr">
        <is>
          <t>2024-03</t>
        </is>
      </c>
    </row>
    <row r="16">
      <c r="A16" s="2" t="inlineStr">
        <is>
          <t>C015</t>
        </is>
      </c>
      <c r="B16" s="2" t="inlineStr">
        <is>
          <t>Back to School Drive</t>
        </is>
      </c>
      <c r="C16" s="2" t="inlineStr">
        <is>
          <t>Brand Awareness</t>
        </is>
      </c>
      <c r="D16" s="2" t="inlineStr">
        <is>
          <t>YouTube</t>
        </is>
      </c>
      <c r="E16" s="2" t="inlineStr">
        <is>
          <t>2024-06-18</t>
        </is>
      </c>
      <c r="F16" s="2" t="inlineStr">
        <is>
          <t>2024-06-29</t>
        </is>
      </c>
      <c r="G16" s="2" t="inlineStr">
        <is>
          <t>South</t>
        </is>
      </c>
      <c r="H16" s="2" t="inlineStr">
        <is>
          <t>18-24</t>
        </is>
      </c>
      <c r="I16" s="3" t="n">
        <v>739131</v>
      </c>
      <c r="J16" s="3" t="n">
        <v>9904</v>
      </c>
      <c r="K16" s="4" t="n">
        <v>1.34</v>
      </c>
      <c r="L16" s="3" t="n">
        <v>371</v>
      </c>
      <c r="M16" s="3" t="n">
        <v>251</v>
      </c>
      <c r="N16" s="4" t="n">
        <v>2.53</v>
      </c>
      <c r="O16" s="5" t="n">
        <v>103143.17</v>
      </c>
      <c r="P16" s="5" t="n">
        <v>331885.78</v>
      </c>
      <c r="Q16" s="4" t="n">
        <v>221.77</v>
      </c>
      <c r="R16" s="5" t="n">
        <v>10.41</v>
      </c>
      <c r="S16" s="5" t="n">
        <v>139.55</v>
      </c>
      <c r="T16" s="5" t="n">
        <v>410.93</v>
      </c>
      <c r="U16" s="3" t="n">
        <v>11</v>
      </c>
      <c r="V16" s="5" t="n">
        <v>228742.61</v>
      </c>
      <c r="W16" s="2" t="inlineStr">
        <is>
          <t>2024-06</t>
        </is>
      </c>
    </row>
    <row r="17">
      <c r="A17" s="6" t="inlineStr">
        <is>
          <t>C016</t>
        </is>
      </c>
      <c r="B17" s="6" t="inlineStr">
        <is>
          <t>YouTube Pre-Roll</t>
        </is>
      </c>
      <c r="C17" s="6" t="inlineStr">
        <is>
          <t>Product Launch</t>
        </is>
      </c>
      <c r="D17" s="6" t="inlineStr">
        <is>
          <t>Email</t>
        </is>
      </c>
      <c r="E17" s="6" t="inlineStr">
        <is>
          <t>2024-04-07</t>
        </is>
      </c>
      <c r="F17" s="6" t="inlineStr">
        <is>
          <t>2024-04-20</t>
        </is>
      </c>
      <c r="G17" s="6" t="inlineStr">
        <is>
          <t>South</t>
        </is>
      </c>
      <c r="H17" s="6" t="inlineStr">
        <is>
          <t>45-54</t>
        </is>
      </c>
      <c r="I17" s="7" t="n">
        <v>16352</v>
      </c>
      <c r="J17" s="7" t="n">
        <v>3612</v>
      </c>
      <c r="K17" s="8" t="n">
        <v>22.09</v>
      </c>
      <c r="L17" s="7" t="n">
        <v>596</v>
      </c>
      <c r="M17" s="7" t="n">
        <v>344</v>
      </c>
      <c r="N17" s="8" t="n">
        <v>9.52</v>
      </c>
      <c r="O17" s="9" t="n">
        <v>23738</v>
      </c>
      <c r="P17" s="9" t="n">
        <v>63339.94</v>
      </c>
      <c r="Q17" s="8" t="n">
        <v>166.83</v>
      </c>
      <c r="R17" s="9" t="n">
        <v>6.57</v>
      </c>
      <c r="S17" s="9" t="n">
        <v>1451.69</v>
      </c>
      <c r="T17" s="9" t="n">
        <v>69.01000000000001</v>
      </c>
      <c r="U17" s="7" t="n">
        <v>13</v>
      </c>
      <c r="V17" s="9" t="n">
        <v>39601.94</v>
      </c>
      <c r="W17" s="6" t="inlineStr">
        <is>
          <t>2024-04</t>
        </is>
      </c>
    </row>
    <row r="18">
      <c r="A18" s="2" t="inlineStr">
        <is>
          <t>C017</t>
        </is>
      </c>
      <c r="B18" s="2" t="inlineStr">
        <is>
          <t>Awareness Wave</t>
        </is>
      </c>
      <c r="C18" s="2" t="inlineStr">
        <is>
          <t>Brand Awareness</t>
        </is>
      </c>
      <c r="D18" s="2" t="inlineStr">
        <is>
          <t>YouTube</t>
        </is>
      </c>
      <c r="E18" s="2" t="inlineStr">
        <is>
          <t>2024-02-25</t>
        </is>
      </c>
      <c r="F18" s="2" t="inlineStr">
        <is>
          <t>2024-03-18</t>
        </is>
      </c>
      <c r="G18" s="2" t="inlineStr">
        <is>
          <t>North</t>
        </is>
      </c>
      <c r="H18" s="2" t="inlineStr">
        <is>
          <t>45-54</t>
        </is>
      </c>
      <c r="I18" s="3" t="n">
        <v>400896</v>
      </c>
      <c r="J18" s="3" t="n">
        <v>5131</v>
      </c>
      <c r="K18" s="4" t="n">
        <v>1.28</v>
      </c>
      <c r="L18" s="3" t="n">
        <v>187</v>
      </c>
      <c r="M18" s="3" t="n">
        <v>107</v>
      </c>
      <c r="N18" s="4" t="n">
        <v>2.09</v>
      </c>
      <c r="O18" s="5" t="n">
        <v>131029.54</v>
      </c>
      <c r="P18" s="5" t="n">
        <v>419132.88</v>
      </c>
      <c r="Q18" s="4" t="n">
        <v>219.88</v>
      </c>
      <c r="R18" s="5" t="n">
        <v>25.54</v>
      </c>
      <c r="S18" s="5" t="n">
        <v>326.84</v>
      </c>
      <c r="T18" s="5" t="n">
        <v>1224.58</v>
      </c>
      <c r="U18" s="3" t="n">
        <v>22</v>
      </c>
      <c r="V18" s="5" t="n">
        <v>288103.34</v>
      </c>
      <c r="W18" s="2" t="inlineStr">
        <is>
          <t>2024-02</t>
        </is>
      </c>
    </row>
    <row r="19">
      <c r="A19" s="6" t="inlineStr">
        <is>
          <t>C018</t>
        </is>
      </c>
      <c r="B19" s="6" t="inlineStr">
        <is>
          <t>Back to School Drive</t>
        </is>
      </c>
      <c r="C19" s="6" t="inlineStr">
        <is>
          <t>Product Launch</t>
        </is>
      </c>
      <c r="D19" s="6" t="inlineStr">
        <is>
          <t>Google Ads</t>
        </is>
      </c>
      <c r="E19" s="6" t="inlineStr">
        <is>
          <t>2024-10-03</t>
        </is>
      </c>
      <c r="F19" s="6" t="inlineStr">
        <is>
          <t>2024-10-10</t>
        </is>
      </c>
      <c r="G19" s="6" t="inlineStr">
        <is>
          <t>Central</t>
        </is>
      </c>
      <c r="H19" s="6" t="inlineStr">
        <is>
          <t>18-24</t>
        </is>
      </c>
      <c r="I19" s="7" t="n">
        <v>74448</v>
      </c>
      <c r="J19" s="7" t="n">
        <v>6439</v>
      </c>
      <c r="K19" s="8" t="n">
        <v>8.65</v>
      </c>
      <c r="L19" s="7" t="n">
        <v>526</v>
      </c>
      <c r="M19" s="7" t="n">
        <v>372</v>
      </c>
      <c r="N19" s="8" t="n">
        <v>5.78</v>
      </c>
      <c r="O19" s="9" t="n">
        <v>102880.1</v>
      </c>
      <c r="P19" s="9" t="n">
        <v>326660.88</v>
      </c>
      <c r="Q19" s="8" t="n">
        <v>217.52</v>
      </c>
      <c r="R19" s="9" t="n">
        <v>15.98</v>
      </c>
      <c r="S19" s="9" t="n">
        <v>1381.91</v>
      </c>
      <c r="T19" s="9" t="n">
        <v>276.56</v>
      </c>
      <c r="U19" s="7" t="n">
        <v>7</v>
      </c>
      <c r="V19" s="9" t="n">
        <v>223780.78</v>
      </c>
      <c r="W19" s="6" t="inlineStr">
        <is>
          <t>2024-10</t>
        </is>
      </c>
    </row>
    <row r="20">
      <c r="A20" s="2" t="inlineStr">
        <is>
          <t>C019</t>
        </is>
      </c>
      <c r="B20" s="2" t="inlineStr">
        <is>
          <t>LinkedIn B2B Push</t>
        </is>
      </c>
      <c r="C20" s="2" t="inlineStr">
        <is>
          <t>Lead Generation</t>
        </is>
      </c>
      <c r="D20" s="2" t="inlineStr">
        <is>
          <t>Google Ads</t>
        </is>
      </c>
      <c r="E20" s="2" t="inlineStr">
        <is>
          <t>2024-05-15</t>
        </is>
      </c>
      <c r="F20" s="2" t="inlineStr">
        <is>
          <t>2024-06-20</t>
        </is>
      </c>
      <c r="G20" s="2" t="inlineStr">
        <is>
          <t>West</t>
        </is>
      </c>
      <c r="H20" s="2" t="inlineStr">
        <is>
          <t>18-24</t>
        </is>
      </c>
      <c r="I20" s="3" t="n">
        <v>124776</v>
      </c>
      <c r="J20" s="3" t="n">
        <v>7773</v>
      </c>
      <c r="K20" s="4" t="n">
        <v>6.23</v>
      </c>
      <c r="L20" s="3" t="n">
        <v>1207</v>
      </c>
      <c r="M20" s="3" t="n">
        <v>484</v>
      </c>
      <c r="N20" s="4" t="n">
        <v>6.23</v>
      </c>
      <c r="O20" s="5" t="n">
        <v>120151.55</v>
      </c>
      <c r="P20" s="5" t="n">
        <v>272505.08</v>
      </c>
      <c r="Q20" s="4" t="n">
        <v>126.8</v>
      </c>
      <c r="R20" s="5" t="n">
        <v>15.46</v>
      </c>
      <c r="S20" s="5" t="n">
        <v>962.9400000000001</v>
      </c>
      <c r="T20" s="5" t="n">
        <v>248.25</v>
      </c>
      <c r="U20" s="3" t="n">
        <v>36</v>
      </c>
      <c r="V20" s="5" t="n">
        <v>152353.53</v>
      </c>
      <c r="W20" s="2" t="inlineStr">
        <is>
          <t>2024-05</t>
        </is>
      </c>
    </row>
    <row r="21">
      <c r="A21" s="6" t="inlineStr">
        <is>
          <t>C020</t>
        </is>
      </c>
      <c r="B21" s="6" t="inlineStr">
        <is>
          <t>Win-Back Campaign</t>
        </is>
      </c>
      <c r="C21" s="6" t="inlineStr">
        <is>
          <t>Retargeting</t>
        </is>
      </c>
      <c r="D21" s="6" t="inlineStr">
        <is>
          <t>Facebook</t>
        </is>
      </c>
      <c r="E21" s="6" t="inlineStr">
        <is>
          <t>2024-10-04</t>
        </is>
      </c>
      <c r="F21" s="6" t="inlineStr">
        <is>
          <t>2024-10-14</t>
        </is>
      </c>
      <c r="G21" s="6" t="inlineStr">
        <is>
          <t>South</t>
        </is>
      </c>
      <c r="H21" s="6" t="inlineStr">
        <is>
          <t>18-24</t>
        </is>
      </c>
      <c r="I21" s="7" t="n">
        <v>276077</v>
      </c>
      <c r="J21" s="7" t="n">
        <v>10490</v>
      </c>
      <c r="K21" s="8" t="n">
        <v>3.8</v>
      </c>
      <c r="L21" s="7" t="n">
        <v>371</v>
      </c>
      <c r="M21" s="7" t="n">
        <v>204</v>
      </c>
      <c r="N21" s="8" t="n">
        <v>1.94</v>
      </c>
      <c r="O21" s="9" t="n">
        <v>85965.06</v>
      </c>
      <c r="P21" s="9" t="n">
        <v>292785.76</v>
      </c>
      <c r="Q21" s="8" t="n">
        <v>240.59</v>
      </c>
      <c r="R21" s="9" t="n">
        <v>8.19</v>
      </c>
      <c r="S21" s="9" t="n">
        <v>311.38</v>
      </c>
      <c r="T21" s="9" t="n">
        <v>421.4</v>
      </c>
      <c r="U21" s="7" t="n">
        <v>10</v>
      </c>
      <c r="V21" s="9" t="n">
        <v>206820.7</v>
      </c>
      <c r="W21" s="6" t="inlineStr">
        <is>
          <t>2024-10</t>
        </is>
      </c>
    </row>
    <row r="22">
      <c r="A22" s="2" t="inlineStr">
        <is>
          <t>C021</t>
        </is>
      </c>
      <c r="B22" s="2" t="inlineStr">
        <is>
          <t>Festive Season Blitz</t>
        </is>
      </c>
      <c r="C22" s="2" t="inlineStr">
        <is>
          <t>Lead Generation</t>
        </is>
      </c>
      <c r="D22" s="2" t="inlineStr">
        <is>
          <t>Google Ads</t>
        </is>
      </c>
      <c r="E22" s="2" t="inlineStr">
        <is>
          <t>2024-04-30</t>
        </is>
      </c>
      <c r="F22" s="2" t="inlineStr">
        <is>
          <t>2024-06-01</t>
        </is>
      </c>
      <c r="G22" s="2" t="inlineStr">
        <is>
          <t>North</t>
        </is>
      </c>
      <c r="H22" s="2" t="inlineStr">
        <is>
          <t>55+</t>
        </is>
      </c>
      <c r="I22" s="3" t="n">
        <v>81427</v>
      </c>
      <c r="J22" s="3" t="n">
        <v>7100</v>
      </c>
      <c r="K22" s="4" t="n">
        <v>8.720000000000001</v>
      </c>
      <c r="L22" s="3" t="n">
        <v>648</v>
      </c>
      <c r="M22" s="3" t="n">
        <v>332</v>
      </c>
      <c r="N22" s="4" t="n">
        <v>4.68</v>
      </c>
      <c r="O22" s="5" t="n">
        <v>47367.85</v>
      </c>
      <c r="P22" s="5" t="n">
        <v>99763.31</v>
      </c>
      <c r="Q22" s="4" t="n">
        <v>110.61</v>
      </c>
      <c r="R22" s="5" t="n">
        <v>6.67</v>
      </c>
      <c r="S22" s="5" t="n">
        <v>581.72</v>
      </c>
      <c r="T22" s="5" t="n">
        <v>142.67</v>
      </c>
      <c r="U22" s="3" t="n">
        <v>32</v>
      </c>
      <c r="V22" s="5" t="n">
        <v>52395.46</v>
      </c>
      <c r="W22" s="2" t="inlineStr">
        <is>
          <t>2024-04</t>
        </is>
      </c>
    </row>
    <row r="23">
      <c r="A23" s="6" t="inlineStr">
        <is>
          <t>C022</t>
        </is>
      </c>
      <c r="B23" s="6" t="inlineStr">
        <is>
          <t>Product Demo Push</t>
        </is>
      </c>
      <c r="C23" s="6" t="inlineStr">
        <is>
          <t>Seasonal Sale</t>
        </is>
      </c>
      <c r="D23" s="6" t="inlineStr">
        <is>
          <t>Email</t>
        </is>
      </c>
      <c r="E23" s="6" t="inlineStr">
        <is>
          <t>2024-04-14</t>
        </is>
      </c>
      <c r="F23" s="6" t="inlineStr">
        <is>
          <t>2024-05-11</t>
        </is>
      </c>
      <c r="G23" s="6" t="inlineStr">
        <is>
          <t>Central</t>
        </is>
      </c>
      <c r="H23" s="6" t="inlineStr">
        <is>
          <t>35-44</t>
        </is>
      </c>
      <c r="I23" s="7" t="n">
        <v>25642</v>
      </c>
      <c r="J23" s="7" t="n">
        <v>4210</v>
      </c>
      <c r="K23" s="8" t="n">
        <v>16.42</v>
      </c>
      <c r="L23" s="7" t="n">
        <v>626</v>
      </c>
      <c r="M23" s="7" t="n">
        <v>307</v>
      </c>
      <c r="N23" s="8" t="n">
        <v>7.29</v>
      </c>
      <c r="O23" s="9" t="n">
        <v>18512.74</v>
      </c>
      <c r="P23" s="9" t="n">
        <v>53769.79</v>
      </c>
      <c r="Q23" s="8" t="n">
        <v>190.45</v>
      </c>
      <c r="R23" s="9" t="n">
        <v>4.4</v>
      </c>
      <c r="S23" s="9" t="n">
        <v>721.97</v>
      </c>
      <c r="T23" s="9" t="n">
        <v>60.3</v>
      </c>
      <c r="U23" s="7" t="n">
        <v>27</v>
      </c>
      <c r="V23" s="9" t="n">
        <v>35257.05</v>
      </c>
      <c r="W23" s="6" t="inlineStr">
        <is>
          <t>2024-04</t>
        </is>
      </c>
    </row>
    <row r="24">
      <c r="A24" s="2" t="inlineStr">
        <is>
          <t>C023</t>
        </is>
      </c>
      <c r="B24" s="2" t="inlineStr">
        <is>
          <t>Win-Back Campaign</t>
        </is>
      </c>
      <c r="C24" s="2" t="inlineStr">
        <is>
          <t>Brand Awareness</t>
        </is>
      </c>
      <c r="D24" s="2" t="inlineStr">
        <is>
          <t>Google Ads</t>
        </is>
      </c>
      <c r="E24" s="2" t="inlineStr">
        <is>
          <t>2024-02-21</t>
        </is>
      </c>
      <c r="F24" s="2" t="inlineStr">
        <is>
          <t>2024-03-03</t>
        </is>
      </c>
      <c r="G24" s="2" t="inlineStr">
        <is>
          <t>West</t>
        </is>
      </c>
      <c r="H24" s="2" t="inlineStr">
        <is>
          <t>55+</t>
        </is>
      </c>
      <c r="I24" s="3" t="n">
        <v>190937</v>
      </c>
      <c r="J24" s="3" t="n">
        <v>9966</v>
      </c>
      <c r="K24" s="4" t="n">
        <v>5.22</v>
      </c>
      <c r="L24" s="3" t="n">
        <v>830</v>
      </c>
      <c r="M24" s="3" t="n">
        <v>344</v>
      </c>
      <c r="N24" s="4" t="n">
        <v>3.45</v>
      </c>
      <c r="O24" s="5" t="n">
        <v>56452.12</v>
      </c>
      <c r="P24" s="5" t="n">
        <v>112162.74</v>
      </c>
      <c r="Q24" s="4" t="n">
        <v>98.69</v>
      </c>
      <c r="R24" s="5" t="n">
        <v>5.66</v>
      </c>
      <c r="S24" s="5" t="n">
        <v>295.66</v>
      </c>
      <c r="T24" s="5" t="n">
        <v>164.1</v>
      </c>
      <c r="U24" s="3" t="n">
        <v>11</v>
      </c>
      <c r="V24" s="5" t="n">
        <v>55710.62</v>
      </c>
      <c r="W24" s="2" t="inlineStr">
        <is>
          <t>2024-02</t>
        </is>
      </c>
    </row>
    <row r="25">
      <c r="A25" s="6" t="inlineStr">
        <is>
          <t>C024</t>
        </is>
      </c>
      <c r="B25" s="6" t="inlineStr">
        <is>
          <t>Referral Boost Program</t>
        </is>
      </c>
      <c r="C25" s="6" t="inlineStr">
        <is>
          <t>Product Launch</t>
        </is>
      </c>
      <c r="D25" s="6" t="inlineStr">
        <is>
          <t>Facebook</t>
        </is>
      </c>
      <c r="E25" s="6" t="inlineStr">
        <is>
          <t>2024-09-27</t>
        </is>
      </c>
      <c r="F25" s="6" t="inlineStr">
        <is>
          <t>2024-10-04</t>
        </is>
      </c>
      <c r="G25" s="6" t="inlineStr">
        <is>
          <t>Central</t>
        </is>
      </c>
      <c r="H25" s="6" t="inlineStr">
        <is>
          <t>35-44</t>
        </is>
      </c>
      <c r="I25" s="7" t="n">
        <v>255076</v>
      </c>
      <c r="J25" s="7" t="n">
        <v>13799</v>
      </c>
      <c r="K25" s="8" t="n">
        <v>5.41</v>
      </c>
      <c r="L25" s="7" t="n">
        <v>767</v>
      </c>
      <c r="M25" s="7" t="n">
        <v>372</v>
      </c>
      <c r="N25" s="8" t="n">
        <v>2.7</v>
      </c>
      <c r="O25" s="9" t="n">
        <v>43116.34</v>
      </c>
      <c r="P25" s="9" t="n">
        <v>139494.75</v>
      </c>
      <c r="Q25" s="8" t="n">
        <v>223.53</v>
      </c>
      <c r="R25" s="9" t="n">
        <v>3.12</v>
      </c>
      <c r="S25" s="9" t="n">
        <v>169.03</v>
      </c>
      <c r="T25" s="9" t="n">
        <v>115.9</v>
      </c>
      <c r="U25" s="7" t="n">
        <v>7</v>
      </c>
      <c r="V25" s="9" t="n">
        <v>96378.41</v>
      </c>
      <c r="W25" s="6" t="inlineStr">
        <is>
          <t>2024-09</t>
        </is>
      </c>
    </row>
    <row r="26">
      <c r="A26" s="2" t="inlineStr">
        <is>
          <t>C025</t>
        </is>
      </c>
      <c r="B26" s="2" t="inlineStr">
        <is>
          <t>Loyalty Rewards Campaign</t>
        </is>
      </c>
      <c r="C26" s="2" t="inlineStr">
        <is>
          <t>Seasonal Sale</t>
        </is>
      </c>
      <c r="D26" s="2" t="inlineStr">
        <is>
          <t>YouTube</t>
        </is>
      </c>
      <c r="E26" s="2" t="inlineStr">
        <is>
          <t>2024-04-17</t>
        </is>
      </c>
      <c r="F26" s="2" t="inlineStr">
        <is>
          <t>2024-05-15</t>
        </is>
      </c>
      <c r="G26" s="2" t="inlineStr">
        <is>
          <t>South</t>
        </is>
      </c>
      <c r="H26" s="2" t="inlineStr">
        <is>
          <t>35-44</t>
        </is>
      </c>
      <c r="I26" s="3" t="n">
        <v>413487</v>
      </c>
      <c r="J26" s="3" t="n">
        <v>7732</v>
      </c>
      <c r="K26" s="4" t="n">
        <v>1.87</v>
      </c>
      <c r="L26" s="3" t="n">
        <v>417</v>
      </c>
      <c r="M26" s="3" t="n">
        <v>225</v>
      </c>
      <c r="N26" s="4" t="n">
        <v>2.91</v>
      </c>
      <c r="O26" s="5" t="n">
        <v>146230.23</v>
      </c>
      <c r="P26" s="5" t="n">
        <v>457795.51</v>
      </c>
      <c r="Q26" s="4" t="n">
        <v>213.06</v>
      </c>
      <c r="R26" s="5" t="n">
        <v>18.91</v>
      </c>
      <c r="S26" s="5" t="n">
        <v>353.65</v>
      </c>
      <c r="T26" s="5" t="n">
        <v>649.91</v>
      </c>
      <c r="U26" s="3" t="n">
        <v>28</v>
      </c>
      <c r="V26" s="5" t="n">
        <v>311565.28</v>
      </c>
      <c r="W26" s="2" t="inlineStr">
        <is>
          <t>2024-04</t>
        </is>
      </c>
    </row>
    <row r="27">
      <c r="A27" s="6" t="inlineStr">
        <is>
          <t>C026</t>
        </is>
      </c>
      <c r="B27" s="6" t="inlineStr">
        <is>
          <t>Summer Splash Sale</t>
        </is>
      </c>
      <c r="C27" s="6" t="inlineStr">
        <is>
          <t>Product Launch</t>
        </is>
      </c>
      <c r="D27" s="6" t="inlineStr">
        <is>
          <t>Google Ads</t>
        </is>
      </c>
      <c r="E27" s="6" t="inlineStr">
        <is>
          <t>2024-06-19</t>
        </is>
      </c>
      <c r="F27" s="6" t="inlineStr">
        <is>
          <t>2024-07-04</t>
        </is>
      </c>
      <c r="G27" s="6" t="inlineStr">
        <is>
          <t>East</t>
        </is>
      </c>
      <c r="H27" s="6" t="inlineStr">
        <is>
          <t>18-24</t>
        </is>
      </c>
      <c r="I27" s="7" t="n">
        <v>118670</v>
      </c>
      <c r="J27" s="7" t="n">
        <v>5909</v>
      </c>
      <c r="K27" s="8" t="n">
        <v>4.98</v>
      </c>
      <c r="L27" s="7" t="n">
        <v>520</v>
      </c>
      <c r="M27" s="7" t="n">
        <v>246</v>
      </c>
      <c r="N27" s="8" t="n">
        <v>4.16</v>
      </c>
      <c r="O27" s="9" t="n">
        <v>91254.28</v>
      </c>
      <c r="P27" s="9" t="n">
        <v>116858.89</v>
      </c>
      <c r="Q27" s="8" t="n">
        <v>28.06</v>
      </c>
      <c r="R27" s="9" t="n">
        <v>15.44</v>
      </c>
      <c r="S27" s="9" t="n">
        <v>768.98</v>
      </c>
      <c r="T27" s="9" t="n">
        <v>370.95</v>
      </c>
      <c r="U27" s="7" t="n">
        <v>15</v>
      </c>
      <c r="V27" s="9" t="n">
        <v>25604.61</v>
      </c>
      <c r="W27" s="6" t="inlineStr">
        <is>
          <t>2024-06</t>
        </is>
      </c>
    </row>
    <row r="28">
      <c r="A28" s="2" t="inlineStr">
        <is>
          <t>C027</t>
        </is>
      </c>
      <c r="B28" s="2" t="inlineStr">
        <is>
          <t>Growth Hack Sprint</t>
        </is>
      </c>
      <c r="C28" s="2" t="inlineStr">
        <is>
          <t>Lead Generation</t>
        </is>
      </c>
      <c r="D28" s="2" t="inlineStr">
        <is>
          <t>YouTube</t>
        </is>
      </c>
      <c r="E28" s="2" t="inlineStr">
        <is>
          <t>2024-10-25</t>
        </is>
      </c>
      <c r="F28" s="2" t="inlineStr">
        <is>
          <t>2024-12-06</t>
        </is>
      </c>
      <c r="G28" s="2" t="inlineStr">
        <is>
          <t>Central</t>
        </is>
      </c>
      <c r="H28" s="2" t="inlineStr">
        <is>
          <t>18-24</t>
        </is>
      </c>
      <c r="I28" s="3" t="n">
        <v>355287</v>
      </c>
      <c r="J28" s="3" t="n">
        <v>5578</v>
      </c>
      <c r="K28" s="4" t="n">
        <v>1.57</v>
      </c>
      <c r="L28" s="3" t="n">
        <v>118</v>
      </c>
      <c r="M28" s="3" t="n">
        <v>71</v>
      </c>
      <c r="N28" s="4" t="n">
        <v>1.27</v>
      </c>
      <c r="O28" s="5" t="n">
        <v>81700.97</v>
      </c>
      <c r="P28" s="5" t="n">
        <v>131063.36</v>
      </c>
      <c r="Q28" s="4" t="n">
        <v>60.42</v>
      </c>
      <c r="R28" s="5" t="n">
        <v>14.65</v>
      </c>
      <c r="S28" s="5" t="n">
        <v>229.96</v>
      </c>
      <c r="T28" s="5" t="n">
        <v>1150.72</v>
      </c>
      <c r="U28" s="3" t="n">
        <v>42</v>
      </c>
      <c r="V28" s="5" t="n">
        <v>49362.39</v>
      </c>
      <c r="W28" s="2" t="inlineStr">
        <is>
          <t>2024-10</t>
        </is>
      </c>
    </row>
    <row r="29">
      <c r="A29" s="6" t="inlineStr">
        <is>
          <t>C028</t>
        </is>
      </c>
      <c r="B29" s="6" t="inlineStr">
        <is>
          <t>YouTube Pre-Roll</t>
        </is>
      </c>
      <c r="C29" s="6" t="inlineStr">
        <is>
          <t>Brand Awareness</t>
        </is>
      </c>
      <c r="D29" s="6" t="inlineStr">
        <is>
          <t>Facebook</t>
        </is>
      </c>
      <c r="E29" s="6" t="inlineStr">
        <is>
          <t>2024-03-20</t>
        </is>
      </c>
      <c r="F29" s="6" t="inlineStr">
        <is>
          <t>2024-04-11</t>
        </is>
      </c>
      <c r="G29" s="6" t="inlineStr">
        <is>
          <t>East</t>
        </is>
      </c>
      <c r="H29" s="6" t="inlineStr">
        <is>
          <t>55+</t>
        </is>
      </c>
      <c r="I29" s="7" t="n">
        <v>122598</v>
      </c>
      <c r="J29" s="7" t="n">
        <v>7257</v>
      </c>
      <c r="K29" s="8" t="n">
        <v>5.92</v>
      </c>
      <c r="L29" s="7" t="n">
        <v>717</v>
      </c>
      <c r="M29" s="7" t="n">
        <v>306</v>
      </c>
      <c r="N29" s="8" t="n">
        <v>4.22</v>
      </c>
      <c r="O29" s="9" t="n">
        <v>28983.75</v>
      </c>
      <c r="P29" s="9" t="n">
        <v>96190.39</v>
      </c>
      <c r="Q29" s="8" t="n">
        <v>231.88</v>
      </c>
      <c r="R29" s="9" t="n">
        <v>3.99</v>
      </c>
      <c r="S29" s="9" t="n">
        <v>236.41</v>
      </c>
      <c r="T29" s="9" t="n">
        <v>94.72</v>
      </c>
      <c r="U29" s="7" t="n">
        <v>22</v>
      </c>
      <c r="V29" s="9" t="n">
        <v>67206.64</v>
      </c>
      <c r="W29" s="6" t="inlineStr">
        <is>
          <t>2024-03</t>
        </is>
      </c>
    </row>
    <row r="30">
      <c r="A30" s="2" t="inlineStr">
        <is>
          <t>C029</t>
        </is>
      </c>
      <c r="B30" s="2" t="inlineStr">
        <is>
          <t>New Year Kickoff</t>
        </is>
      </c>
      <c r="C30" s="2" t="inlineStr">
        <is>
          <t>Lead Generation</t>
        </is>
      </c>
      <c r="D30" s="2" t="inlineStr">
        <is>
          <t>LinkedIn</t>
        </is>
      </c>
      <c r="E30" s="2" t="inlineStr">
        <is>
          <t>2024-07-14</t>
        </is>
      </c>
      <c r="F30" s="2" t="inlineStr">
        <is>
          <t>2024-07-23</t>
        </is>
      </c>
      <c r="G30" s="2" t="inlineStr">
        <is>
          <t>East</t>
        </is>
      </c>
      <c r="H30" s="2" t="inlineStr">
        <is>
          <t>25-34</t>
        </is>
      </c>
      <c r="I30" s="3" t="n">
        <v>76268</v>
      </c>
      <c r="J30" s="3" t="n">
        <v>2051</v>
      </c>
      <c r="K30" s="4" t="n">
        <v>2.69</v>
      </c>
      <c r="L30" s="3" t="n">
        <v>196</v>
      </c>
      <c r="M30" s="3" t="n">
        <v>82</v>
      </c>
      <c r="N30" s="4" t="n">
        <v>4</v>
      </c>
      <c r="O30" s="5" t="n">
        <v>130621.34</v>
      </c>
      <c r="P30" s="5" t="n">
        <v>393017.3</v>
      </c>
      <c r="Q30" s="4" t="n">
        <v>200.88</v>
      </c>
      <c r="R30" s="5" t="n">
        <v>63.69</v>
      </c>
      <c r="S30" s="5" t="n">
        <v>1712.66</v>
      </c>
      <c r="T30" s="5" t="n">
        <v>1592.94</v>
      </c>
      <c r="U30" s="3" t="n">
        <v>9</v>
      </c>
      <c r="V30" s="5" t="n">
        <v>262395.96</v>
      </c>
      <c r="W30" s="2" t="inlineStr">
        <is>
          <t>2024-07</t>
        </is>
      </c>
    </row>
    <row r="31">
      <c r="A31" s="6" t="inlineStr">
        <is>
          <t>C030</t>
        </is>
      </c>
      <c r="B31" s="6" t="inlineStr">
        <is>
          <t>LinkedIn B2B Push</t>
        </is>
      </c>
      <c r="C31" s="6" t="inlineStr">
        <is>
          <t>Lead Generation</t>
        </is>
      </c>
      <c r="D31" s="6" t="inlineStr">
        <is>
          <t>Facebook</t>
        </is>
      </c>
      <c r="E31" s="6" t="inlineStr">
        <is>
          <t>2024-06-17</t>
        </is>
      </c>
      <c r="F31" s="6" t="inlineStr">
        <is>
          <t>2024-07-11</t>
        </is>
      </c>
      <c r="G31" s="6" t="inlineStr">
        <is>
          <t>North</t>
        </is>
      </c>
      <c r="H31" s="6" t="inlineStr">
        <is>
          <t>25-34</t>
        </is>
      </c>
      <c r="I31" s="7" t="n">
        <v>98198</v>
      </c>
      <c r="J31" s="7" t="n">
        <v>5783</v>
      </c>
      <c r="K31" s="8" t="n">
        <v>5.89</v>
      </c>
      <c r="L31" s="7" t="n">
        <v>309</v>
      </c>
      <c r="M31" s="7" t="n">
        <v>152</v>
      </c>
      <c r="N31" s="8" t="n">
        <v>2.63</v>
      </c>
      <c r="O31" s="9" t="n">
        <v>88301.91</v>
      </c>
      <c r="P31" s="9" t="n">
        <v>275924.64</v>
      </c>
      <c r="Q31" s="8" t="n">
        <v>212.48</v>
      </c>
      <c r="R31" s="9" t="n">
        <v>15.27</v>
      </c>
      <c r="S31" s="9" t="n">
        <v>899.22</v>
      </c>
      <c r="T31" s="9" t="n">
        <v>580.9299999999999</v>
      </c>
      <c r="U31" s="7" t="n">
        <v>24</v>
      </c>
      <c r="V31" s="9" t="n">
        <v>187622.73</v>
      </c>
      <c r="W31" s="6" t="inlineStr">
        <is>
          <t>2024-06</t>
        </is>
      </c>
    </row>
    <row r="32">
      <c r="A32" s="2" t="inlineStr">
        <is>
          <t>C031</t>
        </is>
      </c>
      <c r="B32" s="2" t="inlineStr">
        <is>
          <t>Lead Gen Q1</t>
        </is>
      </c>
      <c r="C32" s="2" t="inlineStr">
        <is>
          <t>Brand Awareness</t>
        </is>
      </c>
      <c r="D32" s="2" t="inlineStr">
        <is>
          <t>Instagram</t>
        </is>
      </c>
      <c r="E32" s="2" t="inlineStr">
        <is>
          <t>2024-10-24</t>
        </is>
      </c>
      <c r="F32" s="2" t="inlineStr">
        <is>
          <t>2024-11-16</t>
        </is>
      </c>
      <c r="G32" s="2" t="inlineStr">
        <is>
          <t>North</t>
        </is>
      </c>
      <c r="H32" s="2" t="inlineStr">
        <is>
          <t>35-44</t>
        </is>
      </c>
      <c r="I32" s="3" t="n">
        <v>120057</v>
      </c>
      <c r="J32" s="3" t="n">
        <v>2833</v>
      </c>
      <c r="K32" s="4" t="n">
        <v>2.36</v>
      </c>
      <c r="L32" s="3" t="n">
        <v>156</v>
      </c>
      <c r="M32" s="3" t="n">
        <v>73</v>
      </c>
      <c r="N32" s="4" t="n">
        <v>2.58</v>
      </c>
      <c r="O32" s="5" t="n">
        <v>64431.9</v>
      </c>
      <c r="P32" s="5" t="n">
        <v>223073.94</v>
      </c>
      <c r="Q32" s="4" t="n">
        <v>246.22</v>
      </c>
      <c r="R32" s="5" t="n">
        <v>22.74</v>
      </c>
      <c r="S32" s="5" t="n">
        <v>536.6799999999999</v>
      </c>
      <c r="T32" s="5" t="n">
        <v>882.63</v>
      </c>
      <c r="U32" s="3" t="n">
        <v>23</v>
      </c>
      <c r="V32" s="5" t="n">
        <v>158642.04</v>
      </c>
      <c r="W32" s="2" t="inlineStr">
        <is>
          <t>2024-10</t>
        </is>
      </c>
    </row>
    <row r="33">
      <c r="A33" s="6" t="inlineStr">
        <is>
          <t>C032</t>
        </is>
      </c>
      <c r="B33" s="6" t="inlineStr">
        <is>
          <t>Product Demo Push</t>
        </is>
      </c>
      <c r="C33" s="6" t="inlineStr">
        <is>
          <t>Product Launch</t>
        </is>
      </c>
      <c r="D33" s="6" t="inlineStr">
        <is>
          <t>Google Ads</t>
        </is>
      </c>
      <c r="E33" s="6" t="inlineStr">
        <is>
          <t>2024-01-23</t>
        </is>
      </c>
      <c r="F33" s="6" t="inlineStr">
        <is>
          <t>2024-02-26</t>
        </is>
      </c>
      <c r="G33" s="6" t="inlineStr">
        <is>
          <t>Central</t>
        </is>
      </c>
      <c r="H33" s="6" t="inlineStr">
        <is>
          <t>25-34</t>
        </is>
      </c>
      <c r="I33" s="7" t="n">
        <v>50443</v>
      </c>
      <c r="J33" s="7" t="n">
        <v>3379</v>
      </c>
      <c r="K33" s="8" t="n">
        <v>6.7</v>
      </c>
      <c r="L33" s="7" t="n">
        <v>397</v>
      </c>
      <c r="M33" s="7" t="n">
        <v>190</v>
      </c>
      <c r="N33" s="8" t="n">
        <v>5.62</v>
      </c>
      <c r="O33" s="9" t="n">
        <v>150261.18</v>
      </c>
      <c r="P33" s="9" t="n">
        <v>236343.45</v>
      </c>
      <c r="Q33" s="8" t="n">
        <v>57.29</v>
      </c>
      <c r="R33" s="9" t="n">
        <v>44.47</v>
      </c>
      <c r="S33" s="9" t="n">
        <v>2978.83</v>
      </c>
      <c r="T33" s="9" t="n">
        <v>790.85</v>
      </c>
      <c r="U33" s="7" t="n">
        <v>34</v>
      </c>
      <c r="V33" s="9" t="n">
        <v>86082.27</v>
      </c>
      <c r="W33" s="6" t="inlineStr">
        <is>
          <t>2024-01</t>
        </is>
      </c>
    </row>
    <row r="34">
      <c r="A34" s="2" t="inlineStr">
        <is>
          <t>C033</t>
        </is>
      </c>
      <c r="B34" s="2" t="inlineStr">
        <is>
          <t>Awareness Wave</t>
        </is>
      </c>
      <c r="C34" s="2" t="inlineStr">
        <is>
          <t>Brand Awareness</t>
        </is>
      </c>
      <c r="D34" s="2" t="inlineStr">
        <is>
          <t>LinkedIn</t>
        </is>
      </c>
      <c r="E34" s="2" t="inlineStr">
        <is>
          <t>2024-03-04</t>
        </is>
      </c>
      <c r="F34" s="2" t="inlineStr">
        <is>
          <t>2024-03-30</t>
        </is>
      </c>
      <c r="G34" s="2" t="inlineStr">
        <is>
          <t>East</t>
        </is>
      </c>
      <c r="H34" s="2" t="inlineStr">
        <is>
          <t>55+</t>
        </is>
      </c>
      <c r="I34" s="3" t="n">
        <v>53234</v>
      </c>
      <c r="J34" s="3" t="n">
        <v>1261</v>
      </c>
      <c r="K34" s="4" t="n">
        <v>2.37</v>
      </c>
      <c r="L34" s="3" t="n">
        <v>108</v>
      </c>
      <c r="M34" s="3" t="n">
        <v>63</v>
      </c>
      <c r="N34" s="4" t="n">
        <v>5</v>
      </c>
      <c r="O34" s="5" t="n">
        <v>130279.12</v>
      </c>
      <c r="P34" s="5" t="n">
        <v>203289.65</v>
      </c>
      <c r="Q34" s="4" t="n">
        <v>56.04</v>
      </c>
      <c r="R34" s="5" t="n">
        <v>103.31</v>
      </c>
      <c r="S34" s="5" t="n">
        <v>2447.29</v>
      </c>
      <c r="T34" s="5" t="n">
        <v>2067.92</v>
      </c>
      <c r="U34" s="3" t="n">
        <v>26</v>
      </c>
      <c r="V34" s="5" t="n">
        <v>73010.53</v>
      </c>
      <c r="W34" s="2" t="inlineStr">
        <is>
          <t>2024-03</t>
        </is>
      </c>
    </row>
    <row r="35">
      <c r="A35" s="6" t="inlineStr">
        <is>
          <t>C034</t>
        </is>
      </c>
      <c r="B35" s="6" t="inlineStr">
        <is>
          <t>Win-Back Campaign</t>
        </is>
      </c>
      <c r="C35" s="6" t="inlineStr">
        <is>
          <t>Product Launch</t>
        </is>
      </c>
      <c r="D35" s="6" t="inlineStr">
        <is>
          <t>YouTube</t>
        </is>
      </c>
      <c r="E35" s="6" t="inlineStr">
        <is>
          <t>2024-06-03</t>
        </is>
      </c>
      <c r="F35" s="6" t="inlineStr">
        <is>
          <t>2024-07-05</t>
        </is>
      </c>
      <c r="G35" s="6" t="inlineStr">
        <is>
          <t>South</t>
        </is>
      </c>
      <c r="H35" s="6" t="inlineStr">
        <is>
          <t>55+</t>
        </is>
      </c>
      <c r="I35" s="7" t="n">
        <v>774553</v>
      </c>
      <c r="J35" s="7" t="n">
        <v>15878</v>
      </c>
      <c r="K35" s="8" t="n">
        <v>2.05</v>
      </c>
      <c r="L35" s="7" t="n">
        <v>427.5</v>
      </c>
      <c r="M35" s="7" t="n">
        <v>287</v>
      </c>
      <c r="N35" s="8" t="n">
        <v>1.81</v>
      </c>
      <c r="O35" s="9" t="n">
        <v>221085.57</v>
      </c>
      <c r="P35" s="9" t="n">
        <v>414181.3</v>
      </c>
      <c r="Q35" s="8" t="n">
        <v>87.34</v>
      </c>
      <c r="R35" s="9" t="n">
        <v>13.92</v>
      </c>
      <c r="S35" s="9" t="n">
        <v>285.44</v>
      </c>
      <c r="T35" s="9" t="n">
        <v>770.33</v>
      </c>
      <c r="U35" s="7" t="n">
        <v>32</v>
      </c>
      <c r="V35" s="9" t="n">
        <v>193095.73</v>
      </c>
      <c r="W35" s="6" t="inlineStr">
        <is>
          <t>2024-06</t>
        </is>
      </c>
    </row>
    <row r="36">
      <c r="A36" s="2" t="inlineStr">
        <is>
          <t>C035</t>
        </is>
      </c>
      <c r="B36" s="2" t="inlineStr">
        <is>
          <t>Holiday Countdown</t>
        </is>
      </c>
      <c r="C36" s="2" t="inlineStr">
        <is>
          <t>Product Launch</t>
        </is>
      </c>
      <c r="D36" s="2" t="inlineStr">
        <is>
          <t>LinkedIn</t>
        </is>
      </c>
      <c r="E36" s="2" t="inlineStr">
        <is>
          <t>2024-03-27</t>
        </is>
      </c>
      <c r="F36" s="2" t="inlineStr">
        <is>
          <t>2024-04-08</t>
        </is>
      </c>
      <c r="G36" s="2" t="inlineStr">
        <is>
          <t>South</t>
        </is>
      </c>
      <c r="H36" s="2" t="inlineStr">
        <is>
          <t>55+</t>
        </is>
      </c>
      <c r="I36" s="3" t="n">
        <v>38598</v>
      </c>
      <c r="J36" s="3" t="n">
        <v>1073</v>
      </c>
      <c r="K36" s="4" t="n">
        <v>2.78</v>
      </c>
      <c r="L36" s="3" t="n">
        <v>107</v>
      </c>
      <c r="M36" s="3" t="n">
        <v>66</v>
      </c>
      <c r="N36" s="4" t="n">
        <v>6.15</v>
      </c>
      <c r="O36" s="5" t="n">
        <v>119280.46</v>
      </c>
      <c r="P36" s="5" t="n">
        <v>195517.09</v>
      </c>
      <c r="Q36" s="4" t="n">
        <v>63.91</v>
      </c>
      <c r="R36" s="5" t="n">
        <v>111.17</v>
      </c>
      <c r="S36" s="5" t="n">
        <v>3090.33</v>
      </c>
      <c r="T36" s="5" t="n">
        <v>1807.28</v>
      </c>
      <c r="U36" s="3" t="n">
        <v>12</v>
      </c>
      <c r="V36" s="5" t="n">
        <v>76236.63</v>
      </c>
      <c r="W36" s="2" t="inlineStr">
        <is>
          <t>2024-03</t>
        </is>
      </c>
    </row>
    <row r="37">
      <c r="A37" s="6" t="inlineStr">
        <is>
          <t>C036</t>
        </is>
      </c>
      <c r="B37" s="6" t="inlineStr">
        <is>
          <t>Flash Sale Weekend</t>
        </is>
      </c>
      <c r="C37" s="6" t="inlineStr">
        <is>
          <t>Lead Generation</t>
        </is>
      </c>
      <c r="D37" s="6" t="inlineStr">
        <is>
          <t>Facebook</t>
        </is>
      </c>
      <c r="E37" s="6" t="inlineStr">
        <is>
          <t>2024-08-31</t>
        </is>
      </c>
      <c r="F37" s="6" t="inlineStr">
        <is>
          <t>2024-09-11</t>
        </is>
      </c>
      <c r="G37" s="6" t="inlineStr">
        <is>
          <t>North</t>
        </is>
      </c>
      <c r="H37" s="6" t="inlineStr">
        <is>
          <t>18-24</t>
        </is>
      </c>
      <c r="I37" s="7" t="n">
        <v>199384</v>
      </c>
      <c r="J37" s="7" t="n">
        <v>8234</v>
      </c>
      <c r="K37" s="8" t="n">
        <v>4.13</v>
      </c>
      <c r="L37" s="7" t="n">
        <v>440</v>
      </c>
      <c r="M37" s="7" t="n">
        <v>303</v>
      </c>
      <c r="N37" s="8" t="n">
        <v>3.68</v>
      </c>
      <c r="O37" s="9" t="n">
        <v>80147.33</v>
      </c>
      <c r="P37" s="9" t="n">
        <v>135093.35</v>
      </c>
      <c r="Q37" s="8" t="n">
        <v>68.56</v>
      </c>
      <c r="R37" s="9" t="n">
        <v>9.73</v>
      </c>
      <c r="S37" s="9" t="n">
        <v>401.97</v>
      </c>
      <c r="T37" s="9" t="n">
        <v>264.51</v>
      </c>
      <c r="U37" s="7" t="n">
        <v>11</v>
      </c>
      <c r="V37" s="9" t="n">
        <v>54946.02</v>
      </c>
      <c r="W37" s="6" t="inlineStr">
        <is>
          <t>2024-08</t>
        </is>
      </c>
    </row>
    <row r="38">
      <c r="A38" s="2" t="inlineStr">
        <is>
          <t>C037</t>
        </is>
      </c>
      <c r="B38" s="2" t="inlineStr">
        <is>
          <t>Flash Sale Weekend</t>
        </is>
      </c>
      <c r="C38" s="2" t="inlineStr">
        <is>
          <t>Brand Awareness</t>
        </is>
      </c>
      <c r="D38" s="2" t="inlineStr">
        <is>
          <t>YouTube</t>
        </is>
      </c>
      <c r="E38" s="2" t="inlineStr">
        <is>
          <t>2024-03-31</t>
        </is>
      </c>
      <c r="F38" s="2" t="inlineStr">
        <is>
          <t>2024-05-10</t>
        </is>
      </c>
      <c r="G38" s="2" t="inlineStr">
        <is>
          <t>North</t>
        </is>
      </c>
      <c r="H38" s="2" t="inlineStr">
        <is>
          <t>45-54</t>
        </is>
      </c>
      <c r="I38" s="3" t="n">
        <v>687115</v>
      </c>
      <c r="J38" s="3" t="n">
        <v>7626</v>
      </c>
      <c r="K38" s="4" t="n">
        <v>1.11</v>
      </c>
      <c r="L38" s="3" t="n">
        <v>297</v>
      </c>
      <c r="M38" s="3" t="n">
        <v>129</v>
      </c>
      <c r="N38" s="4" t="n">
        <v>1.69</v>
      </c>
      <c r="O38" s="5" t="n">
        <v>153308.57</v>
      </c>
      <c r="P38" s="5" t="n">
        <v>339600.52</v>
      </c>
      <c r="Q38" s="4" t="n">
        <v>121.51</v>
      </c>
      <c r="R38" s="5" t="n">
        <v>20.1</v>
      </c>
      <c r="S38" s="5" t="n">
        <v>223.12</v>
      </c>
      <c r="T38" s="5" t="n">
        <v>1188.44</v>
      </c>
      <c r="U38" s="3" t="n">
        <v>40</v>
      </c>
      <c r="V38" s="5" t="n">
        <v>186291.95</v>
      </c>
      <c r="W38" s="2" t="inlineStr">
        <is>
          <t>2024-03</t>
        </is>
      </c>
    </row>
    <row r="39">
      <c r="A39" s="6" t="inlineStr">
        <is>
          <t>C038</t>
        </is>
      </c>
      <c r="B39" s="6" t="inlineStr">
        <is>
          <t>Email Nurture Series</t>
        </is>
      </c>
      <c r="C39" s="6" t="inlineStr">
        <is>
          <t>Seasonal Sale</t>
        </is>
      </c>
      <c r="D39" s="6" t="inlineStr">
        <is>
          <t>Email</t>
        </is>
      </c>
      <c r="E39" s="6" t="inlineStr">
        <is>
          <t>2024-09-15</t>
        </is>
      </c>
      <c r="F39" s="6" t="inlineStr">
        <is>
          <t>2024-10-19</t>
        </is>
      </c>
      <c r="G39" s="6" t="inlineStr">
        <is>
          <t>Central</t>
        </is>
      </c>
      <c r="H39" s="6" t="inlineStr">
        <is>
          <t>35-44</t>
        </is>
      </c>
      <c r="I39" s="7" t="n">
        <v>45905</v>
      </c>
      <c r="J39" s="7" t="n">
        <v>8731</v>
      </c>
      <c r="K39" s="8" t="n">
        <v>19.02</v>
      </c>
      <c r="L39" s="7" t="n">
        <v>1535</v>
      </c>
      <c r="M39" s="7" t="n">
        <v>662</v>
      </c>
      <c r="N39" s="8" t="n">
        <v>7.58</v>
      </c>
      <c r="O39" s="9" t="n">
        <v>17844.9</v>
      </c>
      <c r="P39" s="9" t="n">
        <v>30218.11</v>
      </c>
      <c r="Q39" s="8" t="n">
        <v>69.34</v>
      </c>
      <c r="R39" s="9" t="n">
        <v>2.04</v>
      </c>
      <c r="S39" s="9" t="n">
        <v>388.74</v>
      </c>
      <c r="T39" s="9" t="n">
        <v>26.96</v>
      </c>
      <c r="U39" s="7" t="n">
        <v>34</v>
      </c>
      <c r="V39" s="9" t="n">
        <v>12373.21</v>
      </c>
      <c r="W39" s="6" t="inlineStr">
        <is>
          <t>2024-09</t>
        </is>
      </c>
    </row>
    <row r="40">
      <c r="A40" s="2" t="inlineStr">
        <is>
          <t>C039</t>
        </is>
      </c>
      <c r="B40" s="2" t="inlineStr">
        <is>
          <t>Flash Sale Weekend</t>
        </is>
      </c>
      <c r="C40" s="2" t="inlineStr">
        <is>
          <t>Retargeting</t>
        </is>
      </c>
      <c r="D40" s="2" t="inlineStr">
        <is>
          <t>YouTube</t>
        </is>
      </c>
      <c r="E40" s="2" t="inlineStr">
        <is>
          <t>2024-05-20</t>
        </is>
      </c>
      <c r="F40" s="2" t="inlineStr">
        <is>
          <t>2024-06-24</t>
        </is>
      </c>
      <c r="G40" s="2" t="inlineStr">
        <is>
          <t>Central</t>
        </is>
      </c>
      <c r="H40" s="2" t="inlineStr">
        <is>
          <t>45-54</t>
        </is>
      </c>
      <c r="I40" s="3" t="n">
        <v>281247</v>
      </c>
      <c r="J40" s="3" t="n">
        <v>5371</v>
      </c>
      <c r="K40" s="4" t="n">
        <v>1.91</v>
      </c>
      <c r="L40" s="3" t="n">
        <v>145</v>
      </c>
      <c r="M40" s="3" t="n">
        <v>89</v>
      </c>
      <c r="N40" s="4" t="n">
        <v>1.66</v>
      </c>
      <c r="O40" s="5" t="n">
        <v>167775.29</v>
      </c>
      <c r="P40" s="5" t="n">
        <v>245286.4</v>
      </c>
      <c r="Q40" s="4" t="n">
        <v>46.2</v>
      </c>
      <c r="R40" s="5" t="n">
        <v>31.24</v>
      </c>
      <c r="S40" s="5" t="n">
        <v>596.54</v>
      </c>
      <c r="T40" s="5" t="n">
        <v>1885.12</v>
      </c>
      <c r="U40" s="3" t="n">
        <v>35</v>
      </c>
      <c r="V40" s="5" t="n">
        <v>77511.11</v>
      </c>
      <c r="W40" s="2" t="inlineStr">
        <is>
          <t>2024-05</t>
        </is>
      </c>
    </row>
    <row r="41">
      <c r="A41" s="6" t="inlineStr">
        <is>
          <t>C040</t>
        </is>
      </c>
      <c r="B41" s="6" t="inlineStr">
        <is>
          <t>YouTube Pre-Roll</t>
        </is>
      </c>
      <c r="C41" s="6" t="inlineStr">
        <is>
          <t>Lead Generation</t>
        </is>
      </c>
      <c r="D41" s="6" t="inlineStr">
        <is>
          <t>LinkedIn</t>
        </is>
      </c>
      <c r="E41" s="6" t="inlineStr">
        <is>
          <t>2024-07-27</t>
        </is>
      </c>
      <c r="F41" s="6" t="inlineStr">
        <is>
          <t>2024-08-24</t>
        </is>
      </c>
      <c r="G41" s="6" t="inlineStr">
        <is>
          <t>South</t>
        </is>
      </c>
      <c r="H41" s="6" t="inlineStr">
        <is>
          <t>18-24</t>
        </is>
      </c>
      <c r="I41" s="7" t="n">
        <v>55560</v>
      </c>
      <c r="J41" s="7" t="n">
        <v>1489</v>
      </c>
      <c r="K41" s="8" t="n">
        <v>2.68</v>
      </c>
      <c r="L41" s="7" t="n">
        <v>111</v>
      </c>
      <c r="M41" s="7" t="n">
        <v>49</v>
      </c>
      <c r="N41" s="8" t="n">
        <v>3.29</v>
      </c>
      <c r="O41" s="9" t="n">
        <v>176729.21</v>
      </c>
      <c r="P41" s="9" t="n">
        <v>442139.48</v>
      </c>
      <c r="Q41" s="8" t="n">
        <v>150.18</v>
      </c>
      <c r="R41" s="9" t="n">
        <v>118.69</v>
      </c>
      <c r="S41" s="9" t="n">
        <v>3180.87</v>
      </c>
      <c r="T41" s="9" t="n">
        <v>3606.72</v>
      </c>
      <c r="U41" s="7" t="n">
        <v>28</v>
      </c>
      <c r="V41" s="9" t="n">
        <v>265410.27</v>
      </c>
      <c r="W41" s="6" t="inlineStr">
        <is>
          <t>2024-07</t>
        </is>
      </c>
    </row>
    <row r="42">
      <c r="A42" s="2" t="inlineStr">
        <is>
          <t>C041</t>
        </is>
      </c>
      <c r="B42" s="2" t="inlineStr">
        <is>
          <t>Holiday Countdown</t>
        </is>
      </c>
      <c r="C42" s="2" t="inlineStr">
        <is>
          <t>Brand Awareness</t>
        </is>
      </c>
      <c r="D42" s="2" t="inlineStr">
        <is>
          <t>YouTube</t>
        </is>
      </c>
      <c r="E42" s="2" t="inlineStr">
        <is>
          <t>2024-01-04</t>
        </is>
      </c>
      <c r="F42" s="2" t="inlineStr">
        <is>
          <t>2024-02-02</t>
        </is>
      </c>
      <c r="G42" s="2" t="inlineStr">
        <is>
          <t>Central</t>
        </is>
      </c>
      <c r="H42" s="2" t="inlineStr">
        <is>
          <t>45-54</t>
        </is>
      </c>
      <c r="I42" s="3" t="n">
        <v>513118</v>
      </c>
      <c r="J42" s="3" t="n">
        <v>10005</v>
      </c>
      <c r="K42" s="4" t="n">
        <v>1.95</v>
      </c>
      <c r="L42" s="3" t="n">
        <v>709</v>
      </c>
      <c r="M42" s="3" t="n">
        <v>291</v>
      </c>
      <c r="N42" s="4" t="n">
        <v>2.91</v>
      </c>
      <c r="O42" s="5" t="n">
        <v>172439.6</v>
      </c>
      <c r="P42" s="5" t="n">
        <v>493715.57</v>
      </c>
      <c r="Q42" s="4" t="n">
        <v>186.31</v>
      </c>
      <c r="R42" s="5" t="n">
        <v>17.24</v>
      </c>
      <c r="S42" s="5" t="n">
        <v>336.06</v>
      </c>
      <c r="T42" s="5" t="n">
        <v>592.58</v>
      </c>
      <c r="U42" s="3" t="n">
        <v>29</v>
      </c>
      <c r="V42" s="5" t="n">
        <v>321275.97</v>
      </c>
      <c r="W42" s="2" t="inlineStr">
        <is>
          <t>2024-01</t>
        </is>
      </c>
    </row>
    <row r="43">
      <c r="A43" s="6" t="inlineStr">
        <is>
          <t>C042</t>
        </is>
      </c>
      <c r="B43" s="6" t="inlineStr">
        <is>
          <t>Product Demo Push</t>
        </is>
      </c>
      <c r="C43" s="6" t="inlineStr">
        <is>
          <t>Lead Generation</t>
        </is>
      </c>
      <c r="D43" s="6" t="inlineStr">
        <is>
          <t>Email</t>
        </is>
      </c>
      <c r="E43" s="6" t="inlineStr">
        <is>
          <t>2024-08-11</t>
        </is>
      </c>
      <c r="F43" s="6" t="inlineStr">
        <is>
          <t>2024-09-18</t>
        </is>
      </c>
      <c r="G43" s="6" t="inlineStr">
        <is>
          <t>West</t>
        </is>
      </c>
      <c r="H43" s="6" t="inlineStr">
        <is>
          <t>25-34</t>
        </is>
      </c>
      <c r="I43" s="7" t="n">
        <v>11902</v>
      </c>
      <c r="J43" s="7" t="n">
        <v>2166</v>
      </c>
      <c r="K43" s="8" t="n">
        <v>18.2</v>
      </c>
      <c r="L43" s="7" t="n">
        <v>613</v>
      </c>
      <c r="M43" s="7" t="n">
        <v>274</v>
      </c>
      <c r="N43" s="8" t="n">
        <v>12.65</v>
      </c>
      <c r="O43" s="9" t="n">
        <v>24879.83</v>
      </c>
      <c r="P43" s="9" t="n">
        <v>55276.42</v>
      </c>
      <c r="Q43" s="8" t="n">
        <v>122.17</v>
      </c>
      <c r="R43" s="9" t="n">
        <v>11.49</v>
      </c>
      <c r="S43" s="9" t="n">
        <v>2090.39</v>
      </c>
      <c r="T43" s="9" t="n">
        <v>90.8</v>
      </c>
      <c r="U43" s="7" t="n">
        <v>38</v>
      </c>
      <c r="V43" s="9" t="n">
        <v>30396.59</v>
      </c>
      <c r="W43" s="6" t="inlineStr">
        <is>
          <t>2024-08</t>
        </is>
      </c>
    </row>
    <row r="44">
      <c r="A44" s="2" t="inlineStr">
        <is>
          <t>C043</t>
        </is>
      </c>
      <c r="B44" s="2" t="inlineStr">
        <is>
          <t>LinkedIn B2B Push</t>
        </is>
      </c>
      <c r="C44" s="2" t="inlineStr">
        <is>
          <t>Seasonal Sale</t>
        </is>
      </c>
      <c r="D44" s="2" t="inlineStr">
        <is>
          <t>Facebook</t>
        </is>
      </c>
      <c r="E44" s="2" t="inlineStr">
        <is>
          <t>2024-10-15</t>
        </is>
      </c>
      <c r="F44" s="2" t="inlineStr">
        <is>
          <t>2024-10-23</t>
        </is>
      </c>
      <c r="G44" s="2" t="inlineStr">
        <is>
          <t>Central</t>
        </is>
      </c>
      <c r="H44" s="2" t="inlineStr">
        <is>
          <t>18-24</t>
        </is>
      </c>
      <c r="I44" s="3" t="n">
        <v>102006</v>
      </c>
      <c r="J44" s="3" t="n">
        <v>4957</v>
      </c>
      <c r="K44" s="4" t="n">
        <v>4.86</v>
      </c>
      <c r="L44" s="3" t="n">
        <v>196</v>
      </c>
      <c r="M44" s="3" t="n">
        <v>109</v>
      </c>
      <c r="N44" s="4" t="n">
        <v>2.2</v>
      </c>
      <c r="O44" s="5" t="n">
        <v>33079.65</v>
      </c>
      <c r="P44" s="5" t="n">
        <v>62376.52</v>
      </c>
      <c r="Q44" s="4" t="n">
        <v>88.56</v>
      </c>
      <c r="R44" s="5" t="n">
        <v>6.67</v>
      </c>
      <c r="S44" s="5" t="n">
        <v>324.29</v>
      </c>
      <c r="T44" s="5" t="n">
        <v>303.48</v>
      </c>
      <c r="U44" s="3" t="n">
        <v>8</v>
      </c>
      <c r="V44" s="5" t="n">
        <v>29296.87</v>
      </c>
      <c r="W44" s="2" t="inlineStr">
        <is>
          <t>2024-10</t>
        </is>
      </c>
    </row>
    <row r="45">
      <c r="A45" s="6" t="inlineStr">
        <is>
          <t>C044</t>
        </is>
      </c>
      <c r="B45" s="6" t="inlineStr">
        <is>
          <t>Product Demo Push</t>
        </is>
      </c>
      <c r="C45" s="6" t="inlineStr">
        <is>
          <t>Retargeting</t>
        </is>
      </c>
      <c r="D45" s="6" t="inlineStr">
        <is>
          <t>LinkedIn</t>
        </is>
      </c>
      <c r="E45" s="6" t="inlineStr">
        <is>
          <t>2024-08-03</t>
        </is>
      </c>
      <c r="F45" s="6" t="inlineStr">
        <is>
          <t>2024-08-26</t>
        </is>
      </c>
      <c r="G45" s="6" t="inlineStr">
        <is>
          <t>East</t>
        </is>
      </c>
      <c r="H45" s="6" t="inlineStr">
        <is>
          <t>45-54</t>
        </is>
      </c>
      <c r="I45" s="7" t="n">
        <v>74716</v>
      </c>
      <c r="J45" s="7" t="n">
        <v>1427</v>
      </c>
      <c r="K45" s="8" t="n">
        <v>1.91</v>
      </c>
      <c r="L45" s="7" t="n">
        <v>83</v>
      </c>
      <c r="M45" s="7" t="n">
        <v>44</v>
      </c>
      <c r="N45" s="8" t="n">
        <v>3.08</v>
      </c>
      <c r="O45" s="9" t="n">
        <v>126104.5</v>
      </c>
      <c r="P45" s="9" t="n">
        <v>159482.35</v>
      </c>
      <c r="Q45" s="8" t="n">
        <v>26.47</v>
      </c>
      <c r="R45" s="9" t="n">
        <v>88.37</v>
      </c>
      <c r="S45" s="9" t="n">
        <v>1687.78</v>
      </c>
      <c r="T45" s="9" t="n">
        <v>2866.01</v>
      </c>
      <c r="U45" s="7" t="n">
        <v>23</v>
      </c>
      <c r="V45" s="9" t="n">
        <v>33377.85</v>
      </c>
      <c r="W45" s="6" t="inlineStr">
        <is>
          <t>2024-08</t>
        </is>
      </c>
    </row>
    <row r="46">
      <c r="A46" s="2" t="inlineStr">
        <is>
          <t>C045</t>
        </is>
      </c>
      <c r="B46" s="2" t="inlineStr">
        <is>
          <t>Retarget Lost Carts</t>
        </is>
      </c>
      <c r="C46" s="2" t="inlineStr">
        <is>
          <t>Brand Awareness</t>
        </is>
      </c>
      <c r="D46" s="2" t="inlineStr">
        <is>
          <t>YouTube</t>
        </is>
      </c>
      <c r="E46" s="2" t="inlineStr">
        <is>
          <t>2024-01-11</t>
        </is>
      </c>
      <c r="F46" s="2" t="inlineStr">
        <is>
          <t>2024-01-27</t>
        </is>
      </c>
      <c r="G46" s="2" t="inlineStr">
        <is>
          <t>North</t>
        </is>
      </c>
      <c r="H46" s="2" t="inlineStr">
        <is>
          <t>25-34</t>
        </is>
      </c>
      <c r="I46" s="3" t="n">
        <v>450132</v>
      </c>
      <c r="J46" s="3" t="n">
        <v>5401</v>
      </c>
      <c r="K46" s="4" t="n">
        <v>1.2</v>
      </c>
      <c r="L46" s="3" t="n">
        <v>264</v>
      </c>
      <c r="M46" s="3" t="n">
        <v>137</v>
      </c>
      <c r="N46" s="4" t="n">
        <v>2.54</v>
      </c>
      <c r="O46" s="5" t="n">
        <v>115499.66</v>
      </c>
      <c r="P46" s="5" t="n">
        <v>198080.17</v>
      </c>
      <c r="Q46" s="4" t="n">
        <v>71.5</v>
      </c>
      <c r="R46" s="5" t="n">
        <v>21.38</v>
      </c>
      <c r="S46" s="5" t="n">
        <v>256.59</v>
      </c>
      <c r="T46" s="5" t="n">
        <v>843.0599999999999</v>
      </c>
      <c r="U46" s="3" t="n">
        <v>16</v>
      </c>
      <c r="V46" s="5" t="n">
        <v>82580.50999999999</v>
      </c>
      <c r="W46" s="2" t="inlineStr">
        <is>
          <t>2024-01</t>
        </is>
      </c>
    </row>
    <row r="47">
      <c r="A47" s="6" t="inlineStr">
        <is>
          <t>C046</t>
        </is>
      </c>
      <c r="B47" s="6" t="inlineStr">
        <is>
          <t>New Year Kickoff</t>
        </is>
      </c>
      <c r="C47" s="6" t="inlineStr">
        <is>
          <t>Lead Generation</t>
        </is>
      </c>
      <c r="D47" s="6" t="inlineStr">
        <is>
          <t>Instagram</t>
        </is>
      </c>
      <c r="E47" s="6" t="inlineStr">
        <is>
          <t>2024-03-24</t>
        </is>
      </c>
      <c r="F47" s="6" t="inlineStr">
        <is>
          <t>2024-04-19</t>
        </is>
      </c>
      <c r="G47" s="6" t="inlineStr">
        <is>
          <t>Central</t>
        </is>
      </c>
      <c r="H47" s="6" t="inlineStr">
        <is>
          <t>55+</t>
        </is>
      </c>
      <c r="I47" s="7" t="n">
        <v>156674</v>
      </c>
      <c r="J47" s="7" t="n">
        <v>5467</v>
      </c>
      <c r="K47" s="8" t="n">
        <v>3.49</v>
      </c>
      <c r="L47" s="7" t="n">
        <v>405</v>
      </c>
      <c r="M47" s="7" t="n">
        <v>208</v>
      </c>
      <c r="N47" s="8" t="n">
        <v>3.8</v>
      </c>
      <c r="O47" s="9" t="n">
        <v>71125.03</v>
      </c>
      <c r="P47" s="9" t="n">
        <v>200290.59</v>
      </c>
      <c r="Q47" s="8" t="n">
        <v>181.6</v>
      </c>
      <c r="R47" s="9" t="n">
        <v>13.01</v>
      </c>
      <c r="S47" s="9" t="n">
        <v>453.97</v>
      </c>
      <c r="T47" s="9" t="n">
        <v>341.95</v>
      </c>
      <c r="U47" s="7" t="n">
        <v>26</v>
      </c>
      <c r="V47" s="9" t="n">
        <v>129165.56</v>
      </c>
      <c r="W47" s="6" t="inlineStr">
        <is>
          <t>2024-03</t>
        </is>
      </c>
    </row>
    <row r="48">
      <c r="A48" s="2" t="inlineStr">
        <is>
          <t>C047</t>
        </is>
      </c>
      <c r="B48" s="2" t="inlineStr">
        <is>
          <t>Loyalty Rewards Campaign</t>
        </is>
      </c>
      <c r="C48" s="2" t="inlineStr">
        <is>
          <t>Seasonal Sale</t>
        </is>
      </c>
      <c r="D48" s="2" t="inlineStr">
        <is>
          <t>Google Ads</t>
        </is>
      </c>
      <c r="E48" s="2" t="inlineStr">
        <is>
          <t>2024-03-02</t>
        </is>
      </c>
      <c r="F48" s="2" t="inlineStr">
        <is>
          <t>2024-04-14</t>
        </is>
      </c>
      <c r="G48" s="2" t="inlineStr">
        <is>
          <t>South</t>
        </is>
      </c>
      <c r="H48" s="2" t="inlineStr">
        <is>
          <t>18-24</t>
        </is>
      </c>
      <c r="I48" s="3" t="n">
        <v>60766</v>
      </c>
      <c r="J48" s="3" t="n">
        <v>3566</v>
      </c>
      <c r="K48" s="4" t="n">
        <v>5.87</v>
      </c>
      <c r="L48" s="3" t="n">
        <v>245</v>
      </c>
      <c r="M48" s="3" t="n">
        <v>146</v>
      </c>
      <c r="N48" s="4" t="n">
        <v>4.09</v>
      </c>
      <c r="O48" s="5" t="n">
        <v>112591.54</v>
      </c>
      <c r="P48" s="5" t="n">
        <v>127269.55</v>
      </c>
      <c r="Q48" s="4" t="n">
        <v>13.04</v>
      </c>
      <c r="R48" s="5" t="n">
        <v>31.57</v>
      </c>
      <c r="S48" s="5" t="n">
        <v>1852.87</v>
      </c>
      <c r="T48" s="5" t="n">
        <v>771.17</v>
      </c>
      <c r="U48" s="3" t="n">
        <v>43</v>
      </c>
      <c r="V48" s="5" t="n">
        <v>14678.01</v>
      </c>
      <c r="W48" s="2" t="inlineStr">
        <is>
          <t>2024-03</t>
        </is>
      </c>
    </row>
    <row r="49">
      <c r="A49" s="6" t="inlineStr">
        <is>
          <t>C048</t>
        </is>
      </c>
      <c r="B49" s="6" t="inlineStr">
        <is>
          <t>Growth Hack Sprint</t>
        </is>
      </c>
      <c r="C49" s="6" t="inlineStr">
        <is>
          <t>Product Launch</t>
        </is>
      </c>
      <c r="D49" s="6" t="inlineStr">
        <is>
          <t>LinkedIn</t>
        </is>
      </c>
      <c r="E49" s="6" t="inlineStr">
        <is>
          <t>2024-08-23</t>
        </is>
      </c>
      <c r="F49" s="6" t="inlineStr">
        <is>
          <t>2024-09-08</t>
        </is>
      </c>
      <c r="G49" s="6" t="inlineStr">
        <is>
          <t>North</t>
        </is>
      </c>
      <c r="H49" s="6" t="inlineStr">
        <is>
          <t>45-54</t>
        </is>
      </c>
      <c r="I49" s="7" t="n">
        <v>48540</v>
      </c>
      <c r="J49" s="7" t="n">
        <v>1019</v>
      </c>
      <c r="K49" s="8" t="n">
        <v>2.1</v>
      </c>
      <c r="L49" s="7" t="n">
        <v>116</v>
      </c>
      <c r="M49" s="7" t="n">
        <v>57</v>
      </c>
      <c r="N49" s="8" t="n">
        <v>5.59</v>
      </c>
      <c r="O49" s="9" t="n">
        <v>212069.18</v>
      </c>
      <c r="P49" s="9" t="n">
        <v>469881.06</v>
      </c>
      <c r="Q49" s="8" t="n">
        <v>121.57</v>
      </c>
      <c r="R49" s="9" t="n">
        <v>208.11</v>
      </c>
      <c r="S49" s="9" t="n">
        <v>4368.96</v>
      </c>
      <c r="T49" s="9" t="n">
        <v>3720.51</v>
      </c>
      <c r="U49" s="7" t="n">
        <v>16</v>
      </c>
      <c r="V49" s="9" t="n">
        <v>257811.88</v>
      </c>
      <c r="W49" s="6" t="inlineStr">
        <is>
          <t>2024-08</t>
        </is>
      </c>
    </row>
    <row r="50">
      <c r="A50" s="2" t="inlineStr">
        <is>
          <t>C049</t>
        </is>
      </c>
      <c r="B50" s="2" t="inlineStr">
        <is>
          <t>Flash Sale Weekend</t>
        </is>
      </c>
      <c r="C50" s="2" t="inlineStr">
        <is>
          <t>Seasonal Sale</t>
        </is>
      </c>
      <c r="D50" s="2" t="inlineStr">
        <is>
          <t>YouTube</t>
        </is>
      </c>
      <c r="E50" s="2" t="inlineStr">
        <is>
          <t>2024-02-14</t>
        </is>
      </c>
      <c r="F50" s="2" t="inlineStr">
        <is>
          <t>2024-03-09</t>
        </is>
      </c>
      <c r="G50" s="2" t="inlineStr">
        <is>
          <t>East</t>
        </is>
      </c>
      <c r="H50" s="2" t="inlineStr">
        <is>
          <t>35-44</t>
        </is>
      </c>
      <c r="I50" s="3" t="n">
        <v>672700</v>
      </c>
      <c r="J50" s="3" t="n">
        <v>9014</v>
      </c>
      <c r="K50" s="4" t="n">
        <v>1.34</v>
      </c>
      <c r="L50" s="3" t="n">
        <v>380</v>
      </c>
      <c r="M50" s="3" t="n">
        <v>191</v>
      </c>
      <c r="N50" s="4" t="n">
        <v>2.12</v>
      </c>
      <c r="O50" s="5" t="n">
        <v>148920.99</v>
      </c>
      <c r="P50" s="5" t="n">
        <v>340483.36</v>
      </c>
      <c r="Q50" s="4" t="n">
        <v>128.63</v>
      </c>
      <c r="R50" s="5" t="n">
        <v>16.52</v>
      </c>
      <c r="S50" s="5" t="n">
        <v>221.38</v>
      </c>
      <c r="T50" s="5" t="n">
        <v>779.6900000000001</v>
      </c>
      <c r="U50" s="3" t="n">
        <v>24</v>
      </c>
      <c r="V50" s="5" t="n">
        <v>191562.37</v>
      </c>
      <c r="W50" s="2" t="inlineStr">
        <is>
          <t>2024-02</t>
        </is>
      </c>
    </row>
    <row r="51">
      <c r="A51" s="6" t="inlineStr">
        <is>
          <t>C050</t>
        </is>
      </c>
      <c r="B51" s="6" t="inlineStr">
        <is>
          <t>Growth Hack Sprint</t>
        </is>
      </c>
      <c r="C51" s="6" t="inlineStr">
        <is>
          <t>Lead Generation</t>
        </is>
      </c>
      <c r="D51" s="6" t="inlineStr">
        <is>
          <t>Instagram</t>
        </is>
      </c>
      <c r="E51" s="6" t="inlineStr">
        <is>
          <t>2024-05-12</t>
        </is>
      </c>
      <c r="F51" s="6" t="inlineStr">
        <is>
          <t>2024-06-09</t>
        </is>
      </c>
      <c r="G51" s="6" t="inlineStr">
        <is>
          <t>West</t>
        </is>
      </c>
      <c r="H51" s="6" t="inlineStr">
        <is>
          <t>25-34</t>
        </is>
      </c>
      <c r="I51" s="7" t="n">
        <v>246621</v>
      </c>
      <c r="J51" s="7" t="n">
        <v>10382</v>
      </c>
      <c r="K51" s="8" t="n">
        <v>4.21</v>
      </c>
      <c r="L51" s="7" t="n">
        <v>525</v>
      </c>
      <c r="M51" s="7" t="n">
        <v>337</v>
      </c>
      <c r="N51" s="8" t="n">
        <v>3.25</v>
      </c>
      <c r="O51" s="9" t="n">
        <v>26505.12</v>
      </c>
      <c r="P51" s="9" t="n">
        <v>41309.17</v>
      </c>
      <c r="Q51" s="8" t="n">
        <v>55.85</v>
      </c>
      <c r="R51" s="9" t="n">
        <v>2.55</v>
      </c>
      <c r="S51" s="9" t="n">
        <v>107.47</v>
      </c>
      <c r="T51" s="9" t="n">
        <v>78.65000000000001</v>
      </c>
      <c r="U51" s="7" t="n">
        <v>28</v>
      </c>
      <c r="V51" s="9" t="n">
        <v>14804.05</v>
      </c>
      <c r="W51" s="6" t="inlineStr">
        <is>
          <t>2024-05</t>
        </is>
      </c>
    </row>
    <row r="52">
      <c r="A52" s="2" t="inlineStr">
        <is>
          <t>C051</t>
        </is>
      </c>
      <c r="B52" s="2" t="inlineStr">
        <is>
          <t>Flash Sale Weekend</t>
        </is>
      </c>
      <c r="C52" s="2" t="inlineStr">
        <is>
          <t>Product Launch</t>
        </is>
      </c>
      <c r="D52" s="2" t="inlineStr">
        <is>
          <t>Facebook</t>
        </is>
      </c>
      <c r="E52" s="2" t="inlineStr">
        <is>
          <t>2024-08-31</t>
        </is>
      </c>
      <c r="F52" s="2" t="inlineStr">
        <is>
          <t>2024-10-08</t>
        </is>
      </c>
      <c r="G52" s="2" t="inlineStr">
        <is>
          <t>West</t>
        </is>
      </c>
      <c r="H52" s="2" t="inlineStr">
        <is>
          <t>55+</t>
        </is>
      </c>
      <c r="I52" s="3" t="n">
        <v>197486</v>
      </c>
      <c r="J52" s="3" t="n">
        <v>10545</v>
      </c>
      <c r="K52" s="4" t="n">
        <v>5.34</v>
      </c>
      <c r="L52" s="3" t="n">
        <v>325</v>
      </c>
      <c r="M52" s="3" t="n">
        <v>219</v>
      </c>
      <c r="N52" s="4" t="n">
        <v>2.08</v>
      </c>
      <c r="O52" s="5" t="n">
        <v>57092.44</v>
      </c>
      <c r="P52" s="5" t="n">
        <v>142487.51</v>
      </c>
      <c r="Q52" s="4" t="n">
        <v>149.57</v>
      </c>
      <c r="R52" s="5" t="n">
        <v>5.41</v>
      </c>
      <c r="S52" s="5" t="n">
        <v>289.1</v>
      </c>
      <c r="T52" s="5" t="n">
        <v>260.7</v>
      </c>
      <c r="U52" s="3" t="n">
        <v>38</v>
      </c>
      <c r="V52" s="5" t="n">
        <v>85395.07000000001</v>
      </c>
      <c r="W52" s="2" t="inlineStr">
        <is>
          <t>2024-08</t>
        </is>
      </c>
    </row>
    <row r="53">
      <c r="A53" s="6" t="inlineStr">
        <is>
          <t>C052</t>
        </is>
      </c>
      <c r="B53" s="6" t="inlineStr">
        <is>
          <t>YouTube Pre-Roll</t>
        </is>
      </c>
      <c r="C53" s="6" t="inlineStr">
        <is>
          <t>Seasonal Sale</t>
        </is>
      </c>
      <c r="D53" s="6" t="inlineStr">
        <is>
          <t>LinkedIn</t>
        </is>
      </c>
      <c r="E53" s="6" t="inlineStr">
        <is>
          <t>2024-10-08</t>
        </is>
      </c>
      <c r="F53" s="6" t="inlineStr">
        <is>
          <t>2024-11-05</t>
        </is>
      </c>
      <c r="G53" s="6" t="inlineStr">
        <is>
          <t>Central</t>
        </is>
      </c>
      <c r="H53" s="6" t="inlineStr">
        <is>
          <t>35-44</t>
        </is>
      </c>
      <c r="I53" s="7" t="n">
        <v>43056</v>
      </c>
      <c r="J53" s="7" t="n">
        <v>1360</v>
      </c>
      <c r="K53" s="8" t="n">
        <v>3.16</v>
      </c>
      <c r="L53" s="7" t="n">
        <v>90</v>
      </c>
      <c r="M53" s="7" t="n">
        <v>59</v>
      </c>
      <c r="N53" s="8" t="n">
        <v>4.34</v>
      </c>
      <c r="O53" s="9" t="n">
        <v>88854.28999999999</v>
      </c>
      <c r="P53" s="9" t="n">
        <v>165030.41</v>
      </c>
      <c r="Q53" s="8" t="n">
        <v>85.73</v>
      </c>
      <c r="R53" s="9" t="n">
        <v>65.33</v>
      </c>
      <c r="S53" s="9" t="n">
        <v>2063.69</v>
      </c>
      <c r="T53" s="9" t="n">
        <v>1506</v>
      </c>
      <c r="U53" s="7" t="n">
        <v>28</v>
      </c>
      <c r="V53" s="9" t="n">
        <v>76176.12</v>
      </c>
      <c r="W53" s="6" t="inlineStr">
        <is>
          <t>2024-10</t>
        </is>
      </c>
    </row>
    <row r="54">
      <c r="A54" s="2" t="inlineStr">
        <is>
          <t>C053</t>
        </is>
      </c>
      <c r="B54" s="2" t="inlineStr">
        <is>
          <t>Retarget Lost Carts</t>
        </is>
      </c>
      <c r="C54" s="2" t="inlineStr">
        <is>
          <t>Seasonal Sale</t>
        </is>
      </c>
      <c r="D54" s="2" t="inlineStr">
        <is>
          <t>YouTube</t>
        </is>
      </c>
      <c r="E54" s="2" t="inlineStr">
        <is>
          <t>2024-09-04</t>
        </is>
      </c>
      <c r="F54" s="2" t="inlineStr">
        <is>
          <t>2024-09-28</t>
        </is>
      </c>
      <c r="G54" s="2" t="inlineStr">
        <is>
          <t>South</t>
        </is>
      </c>
      <c r="H54" s="2" t="inlineStr">
        <is>
          <t>25-34</t>
        </is>
      </c>
      <c r="I54" s="3" t="n">
        <v>750121</v>
      </c>
      <c r="J54" s="3" t="n">
        <v>13277</v>
      </c>
      <c r="K54" s="4" t="n">
        <v>1.77</v>
      </c>
      <c r="L54" s="3" t="n">
        <v>956</v>
      </c>
      <c r="M54" s="3" t="n">
        <v>419</v>
      </c>
      <c r="N54" s="4" t="n">
        <v>3.16</v>
      </c>
      <c r="O54" s="5" t="n">
        <v>122653.24</v>
      </c>
      <c r="P54" s="5" t="n">
        <v>187740.37</v>
      </c>
      <c r="Q54" s="4" t="n">
        <v>53.07</v>
      </c>
      <c r="R54" s="5" t="n">
        <v>9.24</v>
      </c>
      <c r="S54" s="5" t="n">
        <v>163.51</v>
      </c>
      <c r="T54" s="5" t="n">
        <v>292.73</v>
      </c>
      <c r="U54" s="3" t="n">
        <v>24</v>
      </c>
      <c r="V54" s="5" t="n">
        <v>65087.13</v>
      </c>
      <c r="W54" s="2" t="inlineStr">
        <is>
          <t>2024-09</t>
        </is>
      </c>
    </row>
    <row r="55">
      <c r="A55" s="6" t="inlineStr">
        <is>
          <t>C054</t>
        </is>
      </c>
      <c r="B55" s="6" t="inlineStr">
        <is>
          <t>Back to School Drive</t>
        </is>
      </c>
      <c r="C55" s="6" t="inlineStr">
        <is>
          <t>Seasonal Sale</t>
        </is>
      </c>
      <c r="D55" s="6" t="inlineStr">
        <is>
          <t>Google Ads</t>
        </is>
      </c>
      <c r="E55" s="6" t="inlineStr">
        <is>
          <t>2024-01-28</t>
        </is>
      </c>
      <c r="F55" s="6" t="inlineStr">
        <is>
          <t>2024-03-10</t>
        </is>
      </c>
      <c r="G55" s="6" t="inlineStr">
        <is>
          <t>South</t>
        </is>
      </c>
      <c r="H55" s="6" t="inlineStr">
        <is>
          <t>35-44</t>
        </is>
      </c>
      <c r="I55" s="7" t="n">
        <v>126581</v>
      </c>
      <c r="J55" s="7" t="n">
        <v>9556</v>
      </c>
      <c r="K55" s="8" t="n">
        <v>7.55</v>
      </c>
      <c r="L55" s="7" t="n">
        <v>647</v>
      </c>
      <c r="M55" s="7" t="n">
        <v>278</v>
      </c>
      <c r="N55" s="8" t="n">
        <v>2.91</v>
      </c>
      <c r="O55" s="9" t="n">
        <v>87753.60000000001</v>
      </c>
      <c r="P55" s="9" t="n">
        <v>99112.16</v>
      </c>
      <c r="Q55" s="8" t="n">
        <v>12.94</v>
      </c>
      <c r="R55" s="9" t="n">
        <v>9.18</v>
      </c>
      <c r="S55" s="9" t="n">
        <v>693.26</v>
      </c>
      <c r="T55" s="9" t="n">
        <v>315.66</v>
      </c>
      <c r="U55" s="7" t="n">
        <v>42</v>
      </c>
      <c r="V55" s="9" t="n">
        <v>11358.56</v>
      </c>
      <c r="W55" s="6" t="inlineStr">
        <is>
          <t>2024-01</t>
        </is>
      </c>
    </row>
    <row r="56">
      <c r="A56" s="2" t="inlineStr">
        <is>
          <t>C055</t>
        </is>
      </c>
      <c r="B56" s="2" t="inlineStr">
        <is>
          <t>Awareness Wave</t>
        </is>
      </c>
      <c r="C56" s="2" t="inlineStr">
        <is>
          <t>Product Launch</t>
        </is>
      </c>
      <c r="D56" s="2" t="inlineStr">
        <is>
          <t>Instagram</t>
        </is>
      </c>
      <c r="E56" s="2" t="inlineStr">
        <is>
          <t>2024-04-04</t>
        </is>
      </c>
      <c r="F56" s="2" t="inlineStr">
        <is>
          <t>2024-04-14</t>
        </is>
      </c>
      <c r="G56" s="2" t="inlineStr">
        <is>
          <t>West</t>
        </is>
      </c>
      <c r="H56" s="2" t="inlineStr">
        <is>
          <t>45-54</t>
        </is>
      </c>
      <c r="I56" s="3" t="n">
        <v>232371</v>
      </c>
      <c r="J56" s="3" t="n">
        <v>10131</v>
      </c>
      <c r="K56" s="4" t="n">
        <v>4.36</v>
      </c>
      <c r="L56" s="3" t="n">
        <v>617</v>
      </c>
      <c r="M56" s="3" t="n">
        <v>272</v>
      </c>
      <c r="N56" s="4" t="n">
        <v>2.68</v>
      </c>
      <c r="O56" s="5" t="n">
        <v>77265.07000000001</v>
      </c>
      <c r="P56" s="5" t="n">
        <v>191992.17</v>
      </c>
      <c r="Q56" s="4" t="n">
        <v>148.49</v>
      </c>
      <c r="R56" s="5" t="n">
        <v>7.63</v>
      </c>
      <c r="S56" s="5" t="n">
        <v>332.51</v>
      </c>
      <c r="T56" s="5" t="n">
        <v>284.06</v>
      </c>
      <c r="U56" s="3" t="n">
        <v>10</v>
      </c>
      <c r="V56" s="5" t="n">
        <v>114727.1</v>
      </c>
      <c r="W56" s="2" t="inlineStr">
        <is>
          <t>2024-04</t>
        </is>
      </c>
    </row>
    <row r="57">
      <c r="A57" s="6" t="inlineStr">
        <is>
          <t>C056</t>
        </is>
      </c>
      <c r="B57" s="6" t="inlineStr">
        <is>
          <t>Win-Back Campaign</t>
        </is>
      </c>
      <c r="C57" s="6" t="inlineStr">
        <is>
          <t>Brand Awareness</t>
        </is>
      </c>
      <c r="D57" s="6" t="inlineStr">
        <is>
          <t>YouTube</t>
        </is>
      </c>
      <c r="E57" s="6" t="inlineStr">
        <is>
          <t>2024-06-04</t>
        </is>
      </c>
      <c r="F57" s="6" t="inlineStr">
        <is>
          <t>2024-06-16</t>
        </is>
      </c>
      <c r="G57" s="6" t="inlineStr">
        <is>
          <t>South</t>
        </is>
      </c>
      <c r="H57" s="6" t="inlineStr">
        <is>
          <t>25-34</t>
        </is>
      </c>
      <c r="I57" s="7" t="n">
        <v>460247</v>
      </c>
      <c r="J57" s="7" t="n">
        <v>5476</v>
      </c>
      <c r="K57" s="8" t="n">
        <v>1.19</v>
      </c>
      <c r="L57" s="7" t="n">
        <v>296</v>
      </c>
      <c r="M57" s="7" t="n">
        <v>149</v>
      </c>
      <c r="N57" s="8" t="n">
        <v>2.72</v>
      </c>
      <c r="O57" s="9" t="n">
        <v>197742.51</v>
      </c>
      <c r="P57" s="9" t="n">
        <v>465520.29</v>
      </c>
      <c r="Q57" s="8" t="n">
        <v>135.42</v>
      </c>
      <c r="R57" s="9" t="n">
        <v>36.11</v>
      </c>
      <c r="S57" s="9" t="n">
        <v>429.64</v>
      </c>
      <c r="T57" s="9" t="n">
        <v>1327.13</v>
      </c>
      <c r="U57" s="7" t="n">
        <v>12</v>
      </c>
      <c r="V57" s="9" t="n">
        <v>267777.78</v>
      </c>
      <c r="W57" s="6" t="inlineStr">
        <is>
          <t>2024-06</t>
        </is>
      </c>
    </row>
    <row r="58">
      <c r="A58" s="2" t="inlineStr">
        <is>
          <t>C057</t>
        </is>
      </c>
      <c r="B58" s="2" t="inlineStr">
        <is>
          <t>YouTube Pre-Roll</t>
        </is>
      </c>
      <c r="C58" s="2" t="inlineStr">
        <is>
          <t>Product Launch</t>
        </is>
      </c>
      <c r="D58" s="2" t="inlineStr">
        <is>
          <t>LinkedIn</t>
        </is>
      </c>
      <c r="E58" s="2" t="inlineStr">
        <is>
          <t>2024-06-05</t>
        </is>
      </c>
      <c r="F58" s="2" t="inlineStr">
        <is>
          <t>2024-07-18</t>
        </is>
      </c>
      <c r="G58" s="2" t="inlineStr">
        <is>
          <t>East</t>
        </is>
      </c>
      <c r="H58" s="2" t="inlineStr">
        <is>
          <t>55+</t>
        </is>
      </c>
      <c r="I58" s="3" t="n">
        <v>60699</v>
      </c>
      <c r="J58" s="3" t="n">
        <v>1135</v>
      </c>
      <c r="K58" s="4" t="n">
        <v>1.87</v>
      </c>
      <c r="L58" s="3" t="n">
        <v>116</v>
      </c>
      <c r="M58" s="3" t="n">
        <v>88</v>
      </c>
      <c r="N58" s="4" t="n">
        <v>7.75</v>
      </c>
      <c r="O58" s="5" t="n">
        <v>109715.02</v>
      </c>
      <c r="P58" s="5" t="n">
        <v>190372.09</v>
      </c>
      <c r="Q58" s="4" t="n">
        <v>73.52</v>
      </c>
      <c r="R58" s="5" t="n">
        <v>96.67</v>
      </c>
      <c r="S58" s="5" t="n">
        <v>1807.53</v>
      </c>
      <c r="T58" s="5" t="n">
        <v>1246.76</v>
      </c>
      <c r="U58" s="3" t="n">
        <v>43</v>
      </c>
      <c r="V58" s="5" t="n">
        <v>80657.07000000001</v>
      </c>
      <c r="W58" s="2" t="inlineStr">
        <is>
          <t>2024-06</t>
        </is>
      </c>
    </row>
    <row r="59">
      <c r="A59" s="6" t="inlineStr">
        <is>
          <t>C058</t>
        </is>
      </c>
      <c r="B59" s="6" t="inlineStr">
        <is>
          <t>Cross-Sell Upsell</t>
        </is>
      </c>
      <c r="C59" s="6" t="inlineStr">
        <is>
          <t>Lead Generation</t>
        </is>
      </c>
      <c r="D59" s="6" t="inlineStr">
        <is>
          <t>Google Ads</t>
        </is>
      </c>
      <c r="E59" s="6" t="inlineStr">
        <is>
          <t>2024-02-08</t>
        </is>
      </c>
      <c r="F59" s="6" t="inlineStr">
        <is>
          <t>2024-02-25</t>
        </is>
      </c>
      <c r="G59" s="6" t="inlineStr">
        <is>
          <t>South</t>
        </is>
      </c>
      <c r="H59" s="6" t="inlineStr">
        <is>
          <t>25-34</t>
        </is>
      </c>
      <c r="I59" s="7" t="n">
        <v>50701</v>
      </c>
      <c r="J59" s="7" t="n">
        <v>3123</v>
      </c>
      <c r="K59" s="8" t="n">
        <v>6.16</v>
      </c>
      <c r="L59" s="7" t="n">
        <v>291</v>
      </c>
      <c r="M59" s="7" t="n">
        <v>161</v>
      </c>
      <c r="N59" s="8" t="n">
        <v>5.16</v>
      </c>
      <c r="O59" s="9" t="n">
        <v>39522.12</v>
      </c>
      <c r="P59" s="9" t="n">
        <v>110531.28</v>
      </c>
      <c r="Q59" s="8" t="n">
        <v>179.67</v>
      </c>
      <c r="R59" s="9" t="n">
        <v>12.66</v>
      </c>
      <c r="S59" s="9" t="n">
        <v>779.51</v>
      </c>
      <c r="T59" s="9" t="n">
        <v>245.48</v>
      </c>
      <c r="U59" s="7" t="n">
        <v>17</v>
      </c>
      <c r="V59" s="9" t="n">
        <v>71009.16</v>
      </c>
      <c r="W59" s="6" t="inlineStr">
        <is>
          <t>2024-02</t>
        </is>
      </c>
    </row>
    <row r="60">
      <c r="A60" s="2" t="inlineStr">
        <is>
          <t>C059</t>
        </is>
      </c>
      <c r="B60" s="2" t="inlineStr">
        <is>
          <t>Product Demo Push</t>
        </is>
      </c>
      <c r="C60" s="2" t="inlineStr">
        <is>
          <t>Product Launch</t>
        </is>
      </c>
      <c r="D60" s="2" t="inlineStr">
        <is>
          <t>YouTube</t>
        </is>
      </c>
      <c r="E60" s="2" t="inlineStr">
        <is>
          <t>2024-04-11</t>
        </is>
      </c>
      <c r="F60" s="2" t="inlineStr">
        <is>
          <t>2024-05-15</t>
        </is>
      </c>
      <c r="G60" s="2" t="inlineStr">
        <is>
          <t>North</t>
        </is>
      </c>
      <c r="H60" s="2" t="inlineStr">
        <is>
          <t>25-34</t>
        </is>
      </c>
      <c r="I60" s="3" t="n">
        <v>320351</v>
      </c>
      <c r="J60" s="3" t="n">
        <v>5445</v>
      </c>
      <c r="K60" s="4" t="n">
        <v>1.7</v>
      </c>
      <c r="L60" s="3" t="n">
        <v>323</v>
      </c>
      <c r="M60" s="3" t="n">
        <v>136</v>
      </c>
      <c r="N60" s="4" t="n">
        <v>2.5</v>
      </c>
      <c r="O60" s="5" t="n">
        <v>80607.67</v>
      </c>
      <c r="P60" s="5" t="n">
        <v>120767.6</v>
      </c>
      <c r="Q60" s="4" t="n">
        <v>49.82</v>
      </c>
      <c r="R60" s="5" t="n">
        <v>14.8</v>
      </c>
      <c r="S60" s="5" t="n">
        <v>251.62</v>
      </c>
      <c r="T60" s="5" t="n">
        <v>592.7</v>
      </c>
      <c r="U60" s="3" t="n">
        <v>34</v>
      </c>
      <c r="V60" s="5" t="n">
        <v>40159.93</v>
      </c>
      <c r="W60" s="2" t="inlineStr">
        <is>
          <t>2024-04</t>
        </is>
      </c>
    </row>
    <row r="61">
      <c r="A61" s="6" t="inlineStr">
        <is>
          <t>C060</t>
        </is>
      </c>
      <c r="B61" s="6" t="inlineStr">
        <is>
          <t>Email Nurture Series</t>
        </is>
      </c>
      <c r="C61" s="6" t="inlineStr">
        <is>
          <t>Seasonal Sale</t>
        </is>
      </c>
      <c r="D61" s="6" t="inlineStr">
        <is>
          <t>Instagram</t>
        </is>
      </c>
      <c r="E61" s="6" t="inlineStr">
        <is>
          <t>2024-03-04</t>
        </is>
      </c>
      <c r="F61" s="6" t="inlineStr">
        <is>
          <t>2024-04-09</t>
        </is>
      </c>
      <c r="G61" s="6" t="inlineStr">
        <is>
          <t>Central</t>
        </is>
      </c>
      <c r="H61" s="6" t="inlineStr">
        <is>
          <t>35-44</t>
        </is>
      </c>
      <c r="I61" s="7" t="n">
        <v>259431</v>
      </c>
      <c r="J61" s="7" t="n">
        <v>9806</v>
      </c>
      <c r="K61" s="8" t="n">
        <v>3.78</v>
      </c>
      <c r="L61" s="7" t="n">
        <v>699</v>
      </c>
      <c r="M61" s="7" t="n">
        <v>378</v>
      </c>
      <c r="N61" s="8" t="n">
        <v>3.85</v>
      </c>
      <c r="O61" s="9" t="n">
        <v>87488.24000000001</v>
      </c>
      <c r="P61" s="9" t="n">
        <v>221807.88</v>
      </c>
      <c r="Q61" s="8" t="n">
        <v>153.53</v>
      </c>
      <c r="R61" s="9" t="n">
        <v>8.92</v>
      </c>
      <c r="S61" s="9" t="n">
        <v>337.23</v>
      </c>
      <c r="T61" s="9" t="n">
        <v>231.45</v>
      </c>
      <c r="U61" s="7" t="n">
        <v>36</v>
      </c>
      <c r="V61" s="9" t="n">
        <v>134319.64</v>
      </c>
      <c r="W61" s="6" t="inlineStr">
        <is>
          <t>2024-03</t>
        </is>
      </c>
    </row>
    <row r="62">
      <c r="A62" s="2" t="inlineStr">
        <is>
          <t>C061</t>
        </is>
      </c>
      <c r="B62" s="2" t="inlineStr">
        <is>
          <t>Summer Splash Sale</t>
        </is>
      </c>
      <c r="C62" s="2" t="inlineStr">
        <is>
          <t>Retargeting</t>
        </is>
      </c>
      <c r="D62" s="2" t="inlineStr">
        <is>
          <t>LinkedIn</t>
        </is>
      </c>
      <c r="E62" s="2" t="inlineStr">
        <is>
          <t>2024-02-16</t>
        </is>
      </c>
      <c r="F62" s="2" t="inlineStr">
        <is>
          <t>2024-03-08</t>
        </is>
      </c>
      <c r="G62" s="2" t="inlineStr">
        <is>
          <t>Central</t>
        </is>
      </c>
      <c r="H62" s="2" t="inlineStr">
        <is>
          <t>35-44</t>
        </is>
      </c>
      <c r="I62" s="3" t="n">
        <v>64190</v>
      </c>
      <c r="J62" s="3" t="n">
        <v>2195</v>
      </c>
      <c r="K62" s="4" t="n">
        <v>3.42</v>
      </c>
      <c r="L62" s="3" t="n">
        <v>314</v>
      </c>
      <c r="M62" s="3" t="n">
        <v>129</v>
      </c>
      <c r="N62" s="4" t="n">
        <v>5.88</v>
      </c>
      <c r="O62" s="5" t="n">
        <v>124329.68</v>
      </c>
      <c r="P62" s="5" t="n">
        <v>364467.68</v>
      </c>
      <c r="Q62" s="4" t="n">
        <v>193.15</v>
      </c>
      <c r="R62" s="5" t="n">
        <v>56.64</v>
      </c>
      <c r="S62" s="5" t="n">
        <v>1936.9</v>
      </c>
      <c r="T62" s="5" t="n">
        <v>963.8</v>
      </c>
      <c r="U62" s="3" t="n">
        <v>21</v>
      </c>
      <c r="V62" s="5" t="n">
        <v>240138</v>
      </c>
      <c r="W62" s="2" t="inlineStr">
        <is>
          <t>2024-02</t>
        </is>
      </c>
    </row>
    <row r="63">
      <c r="A63" s="6" t="inlineStr">
        <is>
          <t>C062</t>
        </is>
      </c>
      <c r="B63" s="6" t="inlineStr">
        <is>
          <t>Product Demo Push</t>
        </is>
      </c>
      <c r="C63" s="6" t="inlineStr">
        <is>
          <t>Product Launch</t>
        </is>
      </c>
      <c r="D63" s="6" t="inlineStr">
        <is>
          <t>Facebook</t>
        </is>
      </c>
      <c r="E63" s="6" t="inlineStr">
        <is>
          <t>2024-04-02</t>
        </is>
      </c>
      <c r="F63" s="6" t="inlineStr">
        <is>
          <t>2024-05-16</t>
        </is>
      </c>
      <c r="G63" s="6" t="inlineStr">
        <is>
          <t>Central</t>
        </is>
      </c>
      <c r="H63" s="6" t="inlineStr">
        <is>
          <t>45-54</t>
        </is>
      </c>
      <c r="I63" s="7" t="n">
        <v>194264</v>
      </c>
      <c r="J63" s="7" t="n">
        <v>9382</v>
      </c>
      <c r="K63" s="8" t="n">
        <v>4.83</v>
      </c>
      <c r="L63" s="7" t="n">
        <v>404</v>
      </c>
      <c r="M63" s="7" t="n">
        <v>307</v>
      </c>
      <c r="N63" s="8" t="n">
        <v>3.27</v>
      </c>
      <c r="O63" s="9" t="n">
        <v>72835.19</v>
      </c>
      <c r="P63" s="9" t="n">
        <v>136241.12</v>
      </c>
      <c r="Q63" s="8" t="n">
        <v>87.05</v>
      </c>
      <c r="R63" s="9" t="n">
        <v>7.76</v>
      </c>
      <c r="S63" s="9" t="n">
        <v>374.93</v>
      </c>
      <c r="T63" s="9" t="n">
        <v>237.25</v>
      </c>
      <c r="U63" s="7" t="n">
        <v>44</v>
      </c>
      <c r="V63" s="9" t="n">
        <v>63405.93</v>
      </c>
      <c r="W63" s="6" t="inlineStr">
        <is>
          <t>2024-04</t>
        </is>
      </c>
    </row>
    <row r="64">
      <c r="A64" s="2" t="inlineStr">
        <is>
          <t>C063</t>
        </is>
      </c>
      <c r="B64" s="2" t="inlineStr">
        <is>
          <t>Holiday Countdown</t>
        </is>
      </c>
      <c r="C64" s="2" t="inlineStr">
        <is>
          <t>Lead Generation</t>
        </is>
      </c>
      <c r="D64" s="2" t="inlineStr">
        <is>
          <t>Google Ads</t>
        </is>
      </c>
      <c r="E64" s="2" t="inlineStr">
        <is>
          <t>2024-05-27</t>
        </is>
      </c>
      <c r="F64" s="2" t="inlineStr">
        <is>
          <t>2024-06-28</t>
        </is>
      </c>
      <c r="G64" s="2" t="inlineStr">
        <is>
          <t>East</t>
        </is>
      </c>
      <c r="H64" s="2" t="inlineStr">
        <is>
          <t>45-54</t>
        </is>
      </c>
      <c r="I64" s="3" t="n">
        <v>194204</v>
      </c>
      <c r="J64" s="3" t="n">
        <v>8506</v>
      </c>
      <c r="K64" s="4" t="n">
        <v>4.38</v>
      </c>
      <c r="L64" s="3" t="n">
        <v>356</v>
      </c>
      <c r="M64" s="3" t="n">
        <v>233</v>
      </c>
      <c r="N64" s="4" t="n">
        <v>2.74</v>
      </c>
      <c r="O64" s="5" t="n">
        <v>65574.55</v>
      </c>
      <c r="P64" s="5" t="n">
        <v>135740.64</v>
      </c>
      <c r="Q64" s="4" t="n">
        <v>107</v>
      </c>
      <c r="R64" s="5" t="n">
        <v>7.71</v>
      </c>
      <c r="S64" s="5" t="n">
        <v>337.66</v>
      </c>
      <c r="T64" s="5" t="n">
        <v>281.44</v>
      </c>
      <c r="U64" s="3" t="n">
        <v>32</v>
      </c>
      <c r="V64" s="5" t="n">
        <v>70166.09</v>
      </c>
      <c r="W64" s="2" t="inlineStr">
        <is>
          <t>2024-05</t>
        </is>
      </c>
    </row>
    <row r="65">
      <c r="A65" s="6" t="inlineStr">
        <is>
          <t>C064</t>
        </is>
      </c>
      <c r="B65" s="6" t="inlineStr">
        <is>
          <t>YouTube Pre-Roll</t>
        </is>
      </c>
      <c r="C65" s="6" t="inlineStr">
        <is>
          <t>Brand Awareness</t>
        </is>
      </c>
      <c r="D65" s="6" t="inlineStr">
        <is>
          <t>Email</t>
        </is>
      </c>
      <c r="E65" s="6" t="inlineStr">
        <is>
          <t>2024-01-28</t>
        </is>
      </c>
      <c r="F65" s="6" t="inlineStr">
        <is>
          <t>2024-02-16</t>
        </is>
      </c>
      <c r="G65" s="6" t="inlineStr">
        <is>
          <t>Central</t>
        </is>
      </c>
      <c r="H65" s="6" t="inlineStr">
        <is>
          <t>45-54</t>
        </is>
      </c>
      <c r="I65" s="7" t="n">
        <v>43976</v>
      </c>
      <c r="J65" s="7" t="n">
        <v>7832</v>
      </c>
      <c r="K65" s="8" t="n">
        <v>17.81</v>
      </c>
      <c r="L65" s="7" t="n">
        <v>2137</v>
      </c>
      <c r="M65" s="7" t="n">
        <v>1062</v>
      </c>
      <c r="N65" s="8" t="n">
        <v>13.56</v>
      </c>
      <c r="O65" s="9" t="n">
        <v>24539.74</v>
      </c>
      <c r="P65" s="9" t="n">
        <v>42722.09</v>
      </c>
      <c r="Q65" s="8" t="n">
        <v>74.09</v>
      </c>
      <c r="R65" s="9" t="n">
        <v>3.13</v>
      </c>
      <c r="S65" s="9" t="n">
        <v>558.03</v>
      </c>
      <c r="T65" s="9" t="n">
        <v>23.11</v>
      </c>
      <c r="U65" s="7" t="n">
        <v>19</v>
      </c>
      <c r="V65" s="9" t="n">
        <v>18182.35</v>
      </c>
      <c r="W65" s="6" t="inlineStr">
        <is>
          <t>2024-01</t>
        </is>
      </c>
    </row>
    <row r="66">
      <c r="A66" s="2" t="inlineStr">
        <is>
          <t>C065</t>
        </is>
      </c>
      <c r="B66" s="2" t="inlineStr">
        <is>
          <t>New Year Kickoff</t>
        </is>
      </c>
      <c r="C66" s="2" t="inlineStr">
        <is>
          <t>Retargeting</t>
        </is>
      </c>
      <c r="D66" s="2" t="inlineStr">
        <is>
          <t>Facebook</t>
        </is>
      </c>
      <c r="E66" s="2" t="inlineStr">
        <is>
          <t>2024-01-15</t>
        </is>
      </c>
      <c r="F66" s="2" t="inlineStr">
        <is>
          <t>2024-02-29</t>
        </is>
      </c>
      <c r="G66" s="2" t="inlineStr">
        <is>
          <t>West</t>
        </is>
      </c>
      <c r="H66" s="2" t="inlineStr">
        <is>
          <t>45-54</t>
        </is>
      </c>
      <c r="I66" s="3" t="n">
        <v>289535</v>
      </c>
      <c r="J66" s="3" t="n">
        <v>10336</v>
      </c>
      <c r="K66" s="4" t="n">
        <v>3.57</v>
      </c>
      <c r="L66" s="3" t="n">
        <v>450</v>
      </c>
      <c r="M66" s="3" t="n">
        <v>235</v>
      </c>
      <c r="N66" s="4" t="n">
        <v>2.27</v>
      </c>
      <c r="O66" s="5" t="n">
        <v>98615.89</v>
      </c>
      <c r="P66" s="5" t="n">
        <v>161659.21</v>
      </c>
      <c r="Q66" s="4" t="n">
        <v>63.93</v>
      </c>
      <c r="R66" s="5" t="n">
        <v>9.539999999999999</v>
      </c>
      <c r="S66" s="5" t="n">
        <v>340.6</v>
      </c>
      <c r="T66" s="5" t="n">
        <v>419.64</v>
      </c>
      <c r="U66" s="3" t="n">
        <v>45</v>
      </c>
      <c r="V66" s="5" t="n">
        <v>63043.32</v>
      </c>
      <c r="W66" s="2" t="inlineStr">
        <is>
          <t>2024-01</t>
        </is>
      </c>
    </row>
    <row r="67">
      <c r="A67" s="6" t="inlineStr">
        <is>
          <t>C066</t>
        </is>
      </c>
      <c r="B67" s="6" t="inlineStr">
        <is>
          <t>Holiday Countdown</t>
        </is>
      </c>
      <c r="C67" s="6" t="inlineStr">
        <is>
          <t>Product Launch</t>
        </is>
      </c>
      <c r="D67" s="6" t="inlineStr">
        <is>
          <t>Google Ads</t>
        </is>
      </c>
      <c r="E67" s="6" t="inlineStr">
        <is>
          <t>2024-05-29</t>
        </is>
      </c>
      <c r="F67" s="6" t="inlineStr">
        <is>
          <t>2024-07-07</t>
        </is>
      </c>
      <c r="G67" s="6" t="inlineStr">
        <is>
          <t>North</t>
        </is>
      </c>
      <c r="H67" s="6" t="inlineStr">
        <is>
          <t>25-34</t>
        </is>
      </c>
      <c r="I67" s="7" t="n">
        <v>121676</v>
      </c>
      <c r="J67" s="7" t="n">
        <v>7531</v>
      </c>
      <c r="K67" s="8" t="n">
        <v>6.19</v>
      </c>
      <c r="L67" s="7" t="n">
        <v>427.5</v>
      </c>
      <c r="M67" s="7" t="n">
        <v>326</v>
      </c>
      <c r="N67" s="8" t="n">
        <v>4.33</v>
      </c>
      <c r="O67" s="9" t="n">
        <v>101918.96</v>
      </c>
      <c r="P67" s="9" t="n">
        <v>205938.11</v>
      </c>
      <c r="Q67" s="8" t="n">
        <v>102.06</v>
      </c>
      <c r="R67" s="9" t="n">
        <v>13.53</v>
      </c>
      <c r="S67" s="9" t="n">
        <v>837.63</v>
      </c>
      <c r="T67" s="9" t="n">
        <v>312.63</v>
      </c>
      <c r="U67" s="7" t="n">
        <v>39</v>
      </c>
      <c r="V67" s="9" t="n">
        <v>104019.15</v>
      </c>
      <c r="W67" s="6" t="inlineStr">
        <is>
          <t>2024-05</t>
        </is>
      </c>
    </row>
    <row r="68">
      <c r="A68" s="2" t="inlineStr">
        <is>
          <t>C067</t>
        </is>
      </c>
      <c r="B68" s="2" t="inlineStr">
        <is>
          <t>Product Demo Push</t>
        </is>
      </c>
      <c r="C68" s="2" t="inlineStr">
        <is>
          <t>Seasonal Sale</t>
        </is>
      </c>
      <c r="D68" s="2" t="inlineStr">
        <is>
          <t>Email</t>
        </is>
      </c>
      <c r="E68" s="2" t="inlineStr">
        <is>
          <t>2024-07-31</t>
        </is>
      </c>
      <c r="F68" s="2" t="inlineStr">
        <is>
          <t>2024-08-28</t>
        </is>
      </c>
      <c r="G68" s="2" t="inlineStr">
        <is>
          <t>South</t>
        </is>
      </c>
      <c r="H68" s="2" t="inlineStr">
        <is>
          <t>18-24</t>
        </is>
      </c>
      <c r="I68" s="3" t="n">
        <v>43275</v>
      </c>
      <c r="J68" s="3" t="n">
        <v>7118</v>
      </c>
      <c r="K68" s="4" t="n">
        <v>16.45</v>
      </c>
      <c r="L68" s="3" t="n">
        <v>919</v>
      </c>
      <c r="M68" s="3" t="n">
        <v>429</v>
      </c>
      <c r="N68" s="4" t="n">
        <v>6.03</v>
      </c>
      <c r="O68" s="5" t="n">
        <v>25006.68</v>
      </c>
      <c r="P68" s="5" t="n">
        <v>67114.37</v>
      </c>
      <c r="Q68" s="4" t="n">
        <v>168.39</v>
      </c>
      <c r="R68" s="5" t="n">
        <v>3.51</v>
      </c>
      <c r="S68" s="5" t="n">
        <v>577.86</v>
      </c>
      <c r="T68" s="5" t="n">
        <v>58.29</v>
      </c>
      <c r="U68" s="3" t="n">
        <v>28</v>
      </c>
      <c r="V68" s="5" t="n">
        <v>42107.69</v>
      </c>
      <c r="W68" s="2" t="inlineStr">
        <is>
          <t>2024-07</t>
        </is>
      </c>
    </row>
    <row r="69">
      <c r="A69" s="6" t="inlineStr">
        <is>
          <t>C068</t>
        </is>
      </c>
      <c r="B69" s="6" t="inlineStr">
        <is>
          <t>Growth Hack Sprint</t>
        </is>
      </c>
      <c r="C69" s="6" t="inlineStr">
        <is>
          <t>Product Launch</t>
        </is>
      </c>
      <c r="D69" s="6" t="inlineStr">
        <is>
          <t>Facebook</t>
        </is>
      </c>
      <c r="E69" s="6" t="inlineStr">
        <is>
          <t>2024-06-19</t>
        </is>
      </c>
      <c r="F69" s="6" t="inlineStr">
        <is>
          <t>2024-07-31</t>
        </is>
      </c>
      <c r="G69" s="6" t="inlineStr">
        <is>
          <t>Central</t>
        </is>
      </c>
      <c r="H69" s="6" t="inlineStr">
        <is>
          <t>45-54</t>
        </is>
      </c>
      <c r="I69" s="7" t="n">
        <v>279982</v>
      </c>
      <c r="J69" s="7" t="n">
        <v>12711</v>
      </c>
      <c r="K69" s="8" t="n">
        <v>4.54</v>
      </c>
      <c r="L69" s="7" t="n">
        <v>650</v>
      </c>
      <c r="M69" s="7" t="n">
        <v>402</v>
      </c>
      <c r="N69" s="8" t="n">
        <v>3.16</v>
      </c>
      <c r="O69" s="9" t="n">
        <v>65251.54</v>
      </c>
      <c r="P69" s="9" t="n">
        <v>109174.52</v>
      </c>
      <c r="Q69" s="8" t="n">
        <v>67.31</v>
      </c>
      <c r="R69" s="9" t="n">
        <v>5.13</v>
      </c>
      <c r="S69" s="9" t="n">
        <v>233.06</v>
      </c>
      <c r="T69" s="9" t="n">
        <v>162.32</v>
      </c>
      <c r="U69" s="7" t="n">
        <v>42</v>
      </c>
      <c r="V69" s="9" t="n">
        <v>43922.98</v>
      </c>
      <c r="W69" s="6" t="inlineStr">
        <is>
          <t>2024-06</t>
        </is>
      </c>
    </row>
    <row r="70">
      <c r="A70" s="2" t="inlineStr">
        <is>
          <t>C069</t>
        </is>
      </c>
      <c r="B70" s="2" t="inlineStr">
        <is>
          <t>Awareness Wave</t>
        </is>
      </c>
      <c r="C70" s="2" t="inlineStr">
        <is>
          <t>Lead Generation</t>
        </is>
      </c>
      <c r="D70" s="2" t="inlineStr">
        <is>
          <t>LinkedIn</t>
        </is>
      </c>
      <c r="E70" s="2" t="inlineStr">
        <is>
          <t>2024-08-30</t>
        </is>
      </c>
      <c r="F70" s="2" t="inlineStr">
        <is>
          <t>2024-09-30</t>
        </is>
      </c>
      <c r="G70" s="2" t="inlineStr">
        <is>
          <t>West</t>
        </is>
      </c>
      <c r="H70" s="2" t="inlineStr">
        <is>
          <t>18-24</t>
        </is>
      </c>
      <c r="I70" s="3" t="n">
        <v>45302</v>
      </c>
      <c r="J70" s="3" t="n">
        <v>1689</v>
      </c>
      <c r="K70" s="4" t="n">
        <v>3.73</v>
      </c>
      <c r="L70" s="3" t="n">
        <v>239</v>
      </c>
      <c r="M70" s="3" t="n">
        <v>117</v>
      </c>
      <c r="N70" s="4" t="n">
        <v>6.93</v>
      </c>
      <c r="O70" s="5" t="n">
        <v>89705.07000000001</v>
      </c>
      <c r="P70" s="5" t="n">
        <v>106645.61</v>
      </c>
      <c r="Q70" s="4" t="n">
        <v>18.88</v>
      </c>
      <c r="R70" s="5" t="n">
        <v>53.11</v>
      </c>
      <c r="S70" s="5" t="n">
        <v>1980.16</v>
      </c>
      <c r="T70" s="5" t="n">
        <v>766.71</v>
      </c>
      <c r="U70" s="3" t="n">
        <v>31</v>
      </c>
      <c r="V70" s="5" t="n">
        <v>16940.54</v>
      </c>
      <c r="W70" s="2" t="inlineStr">
        <is>
          <t>2024-08</t>
        </is>
      </c>
    </row>
    <row r="71">
      <c r="A71" s="6" t="inlineStr">
        <is>
          <t>C070</t>
        </is>
      </c>
      <c r="B71" s="6" t="inlineStr">
        <is>
          <t>Email Nurture Series</t>
        </is>
      </c>
      <c r="C71" s="6" t="inlineStr">
        <is>
          <t>Seasonal Sale</t>
        </is>
      </c>
      <c r="D71" s="6" t="inlineStr">
        <is>
          <t>Email</t>
        </is>
      </c>
      <c r="E71" s="6" t="inlineStr">
        <is>
          <t>2024-02-21</t>
        </is>
      </c>
      <c r="F71" s="6" t="inlineStr">
        <is>
          <t>2024-04-01</t>
        </is>
      </c>
      <c r="G71" s="6" t="inlineStr">
        <is>
          <t>East</t>
        </is>
      </c>
      <c r="H71" s="6" t="inlineStr">
        <is>
          <t>18-24</t>
        </is>
      </c>
      <c r="I71" s="7" t="n">
        <v>39945</v>
      </c>
      <c r="J71" s="7" t="n">
        <v>5120</v>
      </c>
      <c r="K71" s="8" t="n">
        <v>12.82</v>
      </c>
      <c r="L71" s="7" t="n">
        <v>886</v>
      </c>
      <c r="M71" s="7" t="n">
        <v>380</v>
      </c>
      <c r="N71" s="8" t="n">
        <v>7.42</v>
      </c>
      <c r="O71" s="9" t="n">
        <v>8347.450000000001</v>
      </c>
      <c r="P71" s="9" t="n">
        <v>24839.18</v>
      </c>
      <c r="Q71" s="8" t="n">
        <v>197.57</v>
      </c>
      <c r="R71" s="9" t="n">
        <v>1.63</v>
      </c>
      <c r="S71" s="9" t="n">
        <v>208.97</v>
      </c>
      <c r="T71" s="9" t="n">
        <v>21.97</v>
      </c>
      <c r="U71" s="7" t="n">
        <v>40</v>
      </c>
      <c r="V71" s="9" t="n">
        <v>16491.73</v>
      </c>
      <c r="W71" s="6" t="inlineStr">
        <is>
          <t>2024-02</t>
        </is>
      </c>
    </row>
    <row r="72">
      <c r="A72" s="2" t="inlineStr">
        <is>
          <t>C071</t>
        </is>
      </c>
      <c r="B72" s="2" t="inlineStr">
        <is>
          <t>Festive Season Blitz</t>
        </is>
      </c>
      <c r="C72" s="2" t="inlineStr">
        <is>
          <t>Retargeting</t>
        </is>
      </c>
      <c r="D72" s="2" t="inlineStr">
        <is>
          <t>Instagram</t>
        </is>
      </c>
      <c r="E72" s="2" t="inlineStr">
        <is>
          <t>2024-06-17</t>
        </is>
      </c>
      <c r="F72" s="2" t="inlineStr">
        <is>
          <t>2024-07-28</t>
        </is>
      </c>
      <c r="G72" s="2" t="inlineStr">
        <is>
          <t>Central</t>
        </is>
      </c>
      <c r="H72" s="2" t="inlineStr">
        <is>
          <t>45-54</t>
        </is>
      </c>
      <c r="I72" s="3" t="n">
        <v>299234</v>
      </c>
      <c r="J72" s="3" t="n">
        <v>13136</v>
      </c>
      <c r="K72" s="4" t="n">
        <v>4.39</v>
      </c>
      <c r="L72" s="3" t="n">
        <v>948</v>
      </c>
      <c r="M72" s="3" t="n">
        <v>403</v>
      </c>
      <c r="N72" s="4" t="n">
        <v>3.07</v>
      </c>
      <c r="O72" s="5" t="n">
        <v>102206.28</v>
      </c>
      <c r="P72" s="5" t="n">
        <v>121232.78</v>
      </c>
      <c r="Q72" s="4" t="n">
        <v>18.62</v>
      </c>
      <c r="R72" s="5" t="n">
        <v>7.78</v>
      </c>
      <c r="S72" s="5" t="n">
        <v>341.56</v>
      </c>
      <c r="T72" s="5" t="n">
        <v>253.61</v>
      </c>
      <c r="U72" s="3" t="n">
        <v>41</v>
      </c>
      <c r="V72" s="5" t="n">
        <v>19026.5</v>
      </c>
      <c r="W72" s="2" t="inlineStr">
        <is>
          <t>2024-06</t>
        </is>
      </c>
    </row>
    <row r="73">
      <c r="A73" s="6" t="inlineStr">
        <is>
          <t>C072</t>
        </is>
      </c>
      <c r="B73" s="6" t="inlineStr">
        <is>
          <t>Festive Season Blitz</t>
        </is>
      </c>
      <c r="C73" s="6" t="inlineStr">
        <is>
          <t>Lead Generation</t>
        </is>
      </c>
      <c r="D73" s="6" t="inlineStr">
        <is>
          <t>Google Ads</t>
        </is>
      </c>
      <c r="E73" s="6" t="inlineStr">
        <is>
          <t>2024-08-10</t>
        </is>
      </c>
      <c r="F73" s="6" t="inlineStr">
        <is>
          <t>2024-08-23</t>
        </is>
      </c>
      <c r="G73" s="6" t="inlineStr">
        <is>
          <t>East</t>
        </is>
      </c>
      <c r="H73" s="6" t="inlineStr">
        <is>
          <t>25-34</t>
        </is>
      </c>
      <c r="I73" s="7" t="n">
        <v>76347</v>
      </c>
      <c r="J73" s="7" t="n">
        <v>4832</v>
      </c>
      <c r="K73" s="8" t="n">
        <v>6.33</v>
      </c>
      <c r="L73" s="7" t="n">
        <v>593</v>
      </c>
      <c r="M73" s="7" t="n">
        <v>250</v>
      </c>
      <c r="N73" s="8" t="n">
        <v>5.17</v>
      </c>
      <c r="O73" s="9" t="n">
        <v>42794.53</v>
      </c>
      <c r="P73" s="9" t="n">
        <v>52837.81</v>
      </c>
      <c r="Q73" s="8" t="n">
        <v>23.47</v>
      </c>
      <c r="R73" s="9" t="n">
        <v>8.859999999999999</v>
      </c>
      <c r="S73" s="9" t="n">
        <v>560.53</v>
      </c>
      <c r="T73" s="9" t="n">
        <v>171.18</v>
      </c>
      <c r="U73" s="7" t="n">
        <v>13</v>
      </c>
      <c r="V73" s="9" t="n">
        <v>10043.28</v>
      </c>
      <c r="W73" s="6" t="inlineStr">
        <is>
          <t>2024-08</t>
        </is>
      </c>
    </row>
    <row r="74">
      <c r="A74" s="2" t="inlineStr">
        <is>
          <t>C073</t>
        </is>
      </c>
      <c r="B74" s="2" t="inlineStr">
        <is>
          <t>Flash Sale Weekend</t>
        </is>
      </c>
      <c r="C74" s="2" t="inlineStr">
        <is>
          <t>Retargeting</t>
        </is>
      </c>
      <c r="D74" s="2" t="inlineStr">
        <is>
          <t>Instagram</t>
        </is>
      </c>
      <c r="E74" s="2" t="inlineStr">
        <is>
          <t>2024-09-28</t>
        </is>
      </c>
      <c r="F74" s="2" t="inlineStr">
        <is>
          <t>2024-10-31</t>
        </is>
      </c>
      <c r="G74" s="2" t="inlineStr">
        <is>
          <t>West</t>
        </is>
      </c>
      <c r="H74" s="2" t="inlineStr">
        <is>
          <t>25-34</t>
        </is>
      </c>
      <c r="I74" s="3" t="n">
        <v>396709</v>
      </c>
      <c r="J74" s="3" t="n">
        <v>14836</v>
      </c>
      <c r="K74" s="4" t="n">
        <v>3.74</v>
      </c>
      <c r="L74" s="3" t="n">
        <v>412</v>
      </c>
      <c r="M74" s="3" t="n">
        <v>289</v>
      </c>
      <c r="N74" s="4" t="n">
        <v>1.95</v>
      </c>
      <c r="O74" s="5" t="n">
        <v>78738.00999999999</v>
      </c>
      <c r="P74" s="5" t="n">
        <v>132121.71</v>
      </c>
      <c r="Q74" s="4" t="n">
        <v>67.8</v>
      </c>
      <c r="R74" s="5" t="n">
        <v>5.31</v>
      </c>
      <c r="S74" s="5" t="n">
        <v>198.48</v>
      </c>
      <c r="T74" s="5" t="n">
        <v>272.45</v>
      </c>
      <c r="U74" s="3" t="n">
        <v>33</v>
      </c>
      <c r="V74" s="5" t="n">
        <v>53383.7</v>
      </c>
      <c r="W74" s="2" t="inlineStr">
        <is>
          <t>2024-09</t>
        </is>
      </c>
    </row>
    <row r="75">
      <c r="A75" s="6" t="inlineStr">
        <is>
          <t>C074</t>
        </is>
      </c>
      <c r="B75" s="6" t="inlineStr">
        <is>
          <t>Product Demo Push</t>
        </is>
      </c>
      <c r="C75" s="6" t="inlineStr">
        <is>
          <t>Lead Generation</t>
        </is>
      </c>
      <c r="D75" s="6" t="inlineStr">
        <is>
          <t>Email</t>
        </is>
      </c>
      <c r="E75" s="6" t="inlineStr">
        <is>
          <t>2024-08-23</t>
        </is>
      </c>
      <c r="F75" s="6" t="inlineStr">
        <is>
          <t>2024-09-15</t>
        </is>
      </c>
      <c r="G75" s="6" t="inlineStr">
        <is>
          <t>South</t>
        </is>
      </c>
      <c r="H75" s="6" t="inlineStr">
        <is>
          <t>45-54</t>
        </is>
      </c>
      <c r="I75" s="7" t="n">
        <v>10615</v>
      </c>
      <c r="J75" s="7" t="n">
        <v>2711</v>
      </c>
      <c r="K75" s="8" t="n">
        <v>25.54</v>
      </c>
      <c r="L75" s="7" t="n">
        <v>453</v>
      </c>
      <c r="M75" s="7" t="n">
        <v>288</v>
      </c>
      <c r="N75" s="8" t="n">
        <v>10.62</v>
      </c>
      <c r="O75" s="9" t="n">
        <v>19775.69</v>
      </c>
      <c r="P75" s="9" t="n">
        <v>42718.49</v>
      </c>
      <c r="Q75" s="8" t="n">
        <v>116.02</v>
      </c>
      <c r="R75" s="9" t="n">
        <v>7.29</v>
      </c>
      <c r="S75" s="9" t="n">
        <v>1862.99</v>
      </c>
      <c r="T75" s="9" t="n">
        <v>68.67</v>
      </c>
      <c r="U75" s="7" t="n">
        <v>23</v>
      </c>
      <c r="V75" s="9" t="n">
        <v>22942.8</v>
      </c>
      <c r="W75" s="6" t="inlineStr">
        <is>
          <t>2024-08</t>
        </is>
      </c>
    </row>
    <row r="76">
      <c r="A76" s="2" t="inlineStr">
        <is>
          <t>C075</t>
        </is>
      </c>
      <c r="B76" s="2" t="inlineStr">
        <is>
          <t>Product Demo Push</t>
        </is>
      </c>
      <c r="C76" s="2" t="inlineStr">
        <is>
          <t>Seasonal Sale</t>
        </is>
      </c>
      <c r="D76" s="2" t="inlineStr">
        <is>
          <t>Instagram</t>
        </is>
      </c>
      <c r="E76" s="2" t="inlineStr">
        <is>
          <t>2024-08-21</t>
        </is>
      </c>
      <c r="F76" s="2" t="inlineStr">
        <is>
          <t>2024-09-16</t>
        </is>
      </c>
      <c r="G76" s="2" t="inlineStr">
        <is>
          <t>East</t>
        </is>
      </c>
      <c r="H76" s="2" t="inlineStr">
        <is>
          <t>45-54</t>
        </is>
      </c>
      <c r="I76" s="3" t="n">
        <v>204447</v>
      </c>
      <c r="J76" s="3" t="n">
        <v>9200</v>
      </c>
      <c r="K76" s="4" t="n">
        <v>4.5</v>
      </c>
      <c r="L76" s="3" t="n">
        <v>445</v>
      </c>
      <c r="M76" s="3" t="n">
        <v>333</v>
      </c>
      <c r="N76" s="4" t="n">
        <v>3.62</v>
      </c>
      <c r="O76" s="5" t="n">
        <v>77143.28</v>
      </c>
      <c r="P76" s="5" t="n">
        <v>191280.51</v>
      </c>
      <c r="Q76" s="4" t="n">
        <v>147.95</v>
      </c>
      <c r="R76" s="5" t="n">
        <v>8.390000000000001</v>
      </c>
      <c r="S76" s="5" t="n">
        <v>377.33</v>
      </c>
      <c r="T76" s="5" t="n">
        <v>231.66</v>
      </c>
      <c r="U76" s="3" t="n">
        <v>26</v>
      </c>
      <c r="V76" s="5" t="n">
        <v>114137.23</v>
      </c>
      <c r="W76" s="2" t="inlineStr">
        <is>
          <t>2024-08</t>
        </is>
      </c>
    </row>
    <row r="77">
      <c r="A77" s="6" t="inlineStr">
        <is>
          <t>C076</t>
        </is>
      </c>
      <c r="B77" s="6" t="inlineStr">
        <is>
          <t>Product Demo Push</t>
        </is>
      </c>
      <c r="C77" s="6" t="inlineStr">
        <is>
          <t>Retargeting</t>
        </is>
      </c>
      <c r="D77" s="6" t="inlineStr">
        <is>
          <t>YouTube</t>
        </is>
      </c>
      <c r="E77" s="6" t="inlineStr">
        <is>
          <t>2024-01-05</t>
        </is>
      </c>
      <c r="F77" s="6" t="inlineStr">
        <is>
          <t>2024-02-17</t>
        </is>
      </c>
      <c r="G77" s="6" t="inlineStr">
        <is>
          <t>North</t>
        </is>
      </c>
      <c r="H77" s="6" t="inlineStr">
        <is>
          <t>45-54</t>
        </is>
      </c>
      <c r="I77" s="7" t="n">
        <v>251426</v>
      </c>
      <c r="J77" s="7" t="n">
        <v>5380</v>
      </c>
      <c r="K77" s="8" t="n">
        <v>2.14</v>
      </c>
      <c r="L77" s="7" t="n">
        <v>328</v>
      </c>
      <c r="M77" s="7" t="n">
        <v>144</v>
      </c>
      <c r="N77" s="8" t="n">
        <v>2.68</v>
      </c>
      <c r="O77" s="9" t="n">
        <v>149916.66</v>
      </c>
      <c r="P77" s="9" t="n">
        <v>247704.92</v>
      </c>
      <c r="Q77" s="8" t="n">
        <v>65.23</v>
      </c>
      <c r="R77" s="9" t="n">
        <v>27.87</v>
      </c>
      <c r="S77" s="9" t="n">
        <v>596.27</v>
      </c>
      <c r="T77" s="9" t="n">
        <v>1041.09</v>
      </c>
      <c r="U77" s="7" t="n">
        <v>43</v>
      </c>
      <c r="V77" s="9" t="n">
        <v>97788.25999999999</v>
      </c>
      <c r="W77" s="6" t="inlineStr">
        <is>
          <t>2024-01</t>
        </is>
      </c>
    </row>
    <row r="78">
      <c r="A78" s="2" t="inlineStr">
        <is>
          <t>C077</t>
        </is>
      </c>
      <c r="B78" s="2" t="inlineStr">
        <is>
          <t>Product Demo Push</t>
        </is>
      </c>
      <c r="C78" s="2" t="inlineStr">
        <is>
          <t>Lead Generation</t>
        </is>
      </c>
      <c r="D78" s="2" t="inlineStr">
        <is>
          <t>Instagram</t>
        </is>
      </c>
      <c r="E78" s="2" t="inlineStr">
        <is>
          <t>2024-03-11</t>
        </is>
      </c>
      <c r="F78" s="2" t="inlineStr">
        <is>
          <t>2024-03-24</t>
        </is>
      </c>
      <c r="G78" s="2" t="inlineStr">
        <is>
          <t>South</t>
        </is>
      </c>
      <c r="H78" s="2" t="inlineStr">
        <is>
          <t>55+</t>
        </is>
      </c>
      <c r="I78" s="3" t="n">
        <v>120668</v>
      </c>
      <c r="J78" s="3" t="n">
        <v>3426</v>
      </c>
      <c r="K78" s="4" t="n">
        <v>2.84</v>
      </c>
      <c r="L78" s="3" t="n">
        <v>427.5</v>
      </c>
      <c r="M78" s="3" t="n">
        <v>89</v>
      </c>
      <c r="N78" s="4" t="n">
        <v>2.6</v>
      </c>
      <c r="O78" s="5" t="n">
        <v>35301.52</v>
      </c>
      <c r="P78" s="5" t="n">
        <v>63834.51</v>
      </c>
      <c r="Q78" s="4" t="n">
        <v>80.83</v>
      </c>
      <c r="R78" s="5" t="n">
        <v>10.3</v>
      </c>
      <c r="S78" s="5" t="n">
        <v>292.55</v>
      </c>
      <c r="T78" s="5" t="n">
        <v>396.65</v>
      </c>
      <c r="U78" s="3" t="n">
        <v>13</v>
      </c>
      <c r="V78" s="5" t="n">
        <v>28532.99</v>
      </c>
      <c r="W78" s="2" t="inlineStr">
        <is>
          <t>2024-03</t>
        </is>
      </c>
    </row>
    <row r="79">
      <c r="A79" s="6" t="inlineStr">
        <is>
          <t>C078</t>
        </is>
      </c>
      <c r="B79" s="6" t="inlineStr">
        <is>
          <t>Brand Launch 2024</t>
        </is>
      </c>
      <c r="C79" s="6" t="inlineStr">
        <is>
          <t>Product Launch</t>
        </is>
      </c>
      <c r="D79" s="6" t="inlineStr">
        <is>
          <t>YouTube</t>
        </is>
      </c>
      <c r="E79" s="6" t="inlineStr">
        <is>
          <t>2024-10-03</t>
        </is>
      </c>
      <c r="F79" s="6" t="inlineStr">
        <is>
          <t>2024-11-02</t>
        </is>
      </c>
      <c r="G79" s="6" t="inlineStr">
        <is>
          <t>South</t>
        </is>
      </c>
      <c r="H79" s="6" t="inlineStr">
        <is>
          <t>25-34</t>
        </is>
      </c>
      <c r="I79" s="7" t="n">
        <v>756639</v>
      </c>
      <c r="J79" s="7" t="n">
        <v>12484</v>
      </c>
      <c r="K79" s="8" t="n">
        <v>1.65</v>
      </c>
      <c r="L79" s="7" t="n">
        <v>308</v>
      </c>
      <c r="M79" s="7" t="n">
        <v>218</v>
      </c>
      <c r="N79" s="8" t="n">
        <v>1.75</v>
      </c>
      <c r="O79" s="9" t="n">
        <v>221144.89</v>
      </c>
      <c r="P79" s="9" t="n">
        <v>399905.03</v>
      </c>
      <c r="Q79" s="8" t="n">
        <v>80.83</v>
      </c>
      <c r="R79" s="9" t="n">
        <v>17.71</v>
      </c>
      <c r="S79" s="9" t="n">
        <v>292.27</v>
      </c>
      <c r="T79" s="9" t="n">
        <v>1014.43</v>
      </c>
      <c r="U79" s="7" t="n">
        <v>30</v>
      </c>
      <c r="V79" s="9" t="n">
        <v>178760.14</v>
      </c>
      <c r="W79" s="6" t="inlineStr">
        <is>
          <t>2024-10</t>
        </is>
      </c>
    </row>
    <row r="80">
      <c r="A80" s="2" t="inlineStr">
        <is>
          <t>C080</t>
        </is>
      </c>
      <c r="B80" s="2" t="inlineStr">
        <is>
          <t>Growth Hack Sprint</t>
        </is>
      </c>
      <c r="C80" s="2" t="inlineStr">
        <is>
          <t>Retargeting</t>
        </is>
      </c>
      <c r="D80" s="2" t="inlineStr">
        <is>
          <t>YouTube</t>
        </is>
      </c>
      <c r="E80" s="2" t="inlineStr">
        <is>
          <t>2024-02-25</t>
        </is>
      </c>
      <c r="F80" s="2" t="inlineStr">
        <is>
          <t>2024-03-17</t>
        </is>
      </c>
      <c r="G80" s="2" t="inlineStr">
        <is>
          <t>Central</t>
        </is>
      </c>
      <c r="H80" s="2" t="inlineStr">
        <is>
          <t>45-54</t>
        </is>
      </c>
      <c r="I80" s="3" t="n">
        <v>694379</v>
      </c>
      <c r="J80" s="3" t="n">
        <v>7499</v>
      </c>
      <c r="K80" s="4" t="n">
        <v>1.08</v>
      </c>
      <c r="L80" s="3" t="n">
        <v>428</v>
      </c>
      <c r="M80" s="3" t="n">
        <v>222</v>
      </c>
      <c r="N80" s="4" t="n">
        <v>2.96</v>
      </c>
      <c r="O80" s="5" t="n">
        <v>195417.23</v>
      </c>
      <c r="P80" s="5" t="n">
        <v>244607.83</v>
      </c>
      <c r="Q80" s="4" t="n">
        <v>25.17</v>
      </c>
      <c r="R80" s="5" t="n">
        <v>26.06</v>
      </c>
      <c r="S80" s="5" t="n">
        <v>281.43</v>
      </c>
      <c r="T80" s="5" t="n">
        <v>880.26</v>
      </c>
      <c r="U80" s="3" t="n">
        <v>21</v>
      </c>
      <c r="V80" s="5" t="n">
        <v>49190.6</v>
      </c>
      <c r="W80" s="2" t="inlineStr">
        <is>
          <t>2024-02</t>
        </is>
      </c>
    </row>
    <row r="81">
      <c r="A81" s="6" t="inlineStr">
        <is>
          <t>C081</t>
        </is>
      </c>
      <c r="B81" s="6" t="inlineStr">
        <is>
          <t>Brand Launch 2024</t>
        </is>
      </c>
      <c r="C81" s="6" t="inlineStr">
        <is>
          <t>Retargeting</t>
        </is>
      </c>
      <c r="D81" s="6" t="inlineStr">
        <is>
          <t>LinkedIn</t>
        </is>
      </c>
      <c r="E81" s="6" t="inlineStr">
        <is>
          <t>2024-01-24</t>
        </is>
      </c>
      <c r="F81" s="6" t="inlineStr">
        <is>
          <t>2024-02-02</t>
        </is>
      </c>
      <c r="G81" s="6" t="inlineStr">
        <is>
          <t>West</t>
        </is>
      </c>
      <c r="H81" s="6" t="inlineStr">
        <is>
          <t>18-24</t>
        </is>
      </c>
      <c r="I81" s="7" t="n">
        <v>39946</v>
      </c>
      <c r="J81" s="7" t="n">
        <v>1493</v>
      </c>
      <c r="K81" s="8" t="n">
        <v>3.74</v>
      </c>
      <c r="L81" s="7" t="n">
        <v>79</v>
      </c>
      <c r="M81" s="7" t="n">
        <v>53</v>
      </c>
      <c r="N81" s="8" t="n">
        <v>3.55</v>
      </c>
      <c r="O81" s="9" t="n">
        <v>163091.27</v>
      </c>
      <c r="P81" s="9" t="n">
        <v>356965.2</v>
      </c>
      <c r="Q81" s="8" t="n">
        <v>118.87</v>
      </c>
      <c r="R81" s="9" t="n">
        <v>109.24</v>
      </c>
      <c r="S81" s="9" t="n">
        <v>4082.79</v>
      </c>
      <c r="T81" s="9" t="n">
        <v>3077.19</v>
      </c>
      <c r="U81" s="7" t="n">
        <v>9</v>
      </c>
      <c r="V81" s="9" t="n">
        <v>193873.93</v>
      </c>
      <c r="W81" s="6" t="inlineStr">
        <is>
          <t>2024-01</t>
        </is>
      </c>
    </row>
    <row r="82">
      <c r="A82" s="2" t="inlineStr">
        <is>
          <t>C082</t>
        </is>
      </c>
      <c r="B82" s="2" t="inlineStr">
        <is>
          <t>Brand Launch 2024</t>
        </is>
      </c>
      <c r="C82" s="2" t="inlineStr">
        <is>
          <t>Seasonal Sale</t>
        </is>
      </c>
      <c r="D82" s="2" t="inlineStr">
        <is>
          <t>YouTube</t>
        </is>
      </c>
      <c r="E82" s="2" t="inlineStr">
        <is>
          <t>2024-07-31</t>
        </is>
      </c>
      <c r="F82" s="2" t="inlineStr">
        <is>
          <t>2024-08-13</t>
        </is>
      </c>
      <c r="G82" s="2" t="inlineStr">
        <is>
          <t>West</t>
        </is>
      </c>
      <c r="H82" s="2" t="inlineStr">
        <is>
          <t>55+</t>
        </is>
      </c>
      <c r="I82" s="3" t="n">
        <v>713117</v>
      </c>
      <c r="J82" s="3" t="n">
        <v>12764</v>
      </c>
      <c r="K82" s="4" t="n">
        <v>1.79</v>
      </c>
      <c r="L82" s="3" t="n">
        <v>614</v>
      </c>
      <c r="M82" s="3" t="n">
        <v>393</v>
      </c>
      <c r="N82" s="4" t="n">
        <v>3.08</v>
      </c>
      <c r="O82" s="5" t="n">
        <v>228473.57</v>
      </c>
      <c r="P82" s="5" t="n">
        <v>494444.09</v>
      </c>
      <c r="Q82" s="4" t="n">
        <v>116.41</v>
      </c>
      <c r="R82" s="5" t="n">
        <v>17.9</v>
      </c>
      <c r="S82" s="5" t="n">
        <v>320.39</v>
      </c>
      <c r="T82" s="5" t="n">
        <v>581.36</v>
      </c>
      <c r="U82" s="3" t="n">
        <v>13</v>
      </c>
      <c r="V82" s="5" t="n">
        <v>265970.52</v>
      </c>
      <c r="W82" s="2" t="inlineStr">
        <is>
          <t>2024-07</t>
        </is>
      </c>
    </row>
    <row r="83">
      <c r="A83" s="6" t="inlineStr">
        <is>
          <t>C083</t>
        </is>
      </c>
      <c r="B83" s="6" t="inlineStr">
        <is>
          <t>Cross-Sell Upsell</t>
        </is>
      </c>
      <c r="C83" s="6" t="inlineStr">
        <is>
          <t>Retargeting</t>
        </is>
      </c>
      <c r="D83" s="6" t="inlineStr">
        <is>
          <t>Facebook</t>
        </is>
      </c>
      <c r="E83" s="6" t="inlineStr">
        <is>
          <t>2024-07-02</t>
        </is>
      </c>
      <c r="F83" s="6" t="inlineStr">
        <is>
          <t>2024-07-12</t>
        </is>
      </c>
      <c r="G83" s="6" t="inlineStr">
        <is>
          <t>North</t>
        </is>
      </c>
      <c r="H83" s="6" t="inlineStr">
        <is>
          <t>35-44</t>
        </is>
      </c>
      <c r="I83" s="7" t="n">
        <v>184369</v>
      </c>
      <c r="J83" s="7" t="n">
        <v>6784</v>
      </c>
      <c r="K83" s="8" t="n">
        <v>3.68</v>
      </c>
      <c r="L83" s="7" t="n">
        <v>773</v>
      </c>
      <c r="M83" s="7" t="n">
        <v>318</v>
      </c>
      <c r="N83" s="8" t="n">
        <v>4.69</v>
      </c>
      <c r="O83" s="9" t="n">
        <v>74965.58</v>
      </c>
      <c r="P83" s="9" t="n">
        <v>120623.66</v>
      </c>
      <c r="Q83" s="8" t="n">
        <v>60.91</v>
      </c>
      <c r="R83" s="9" t="n">
        <v>11.05</v>
      </c>
      <c r="S83" s="9" t="n">
        <v>406.61</v>
      </c>
      <c r="T83" s="9" t="n">
        <v>235.74</v>
      </c>
      <c r="U83" s="7" t="n">
        <v>10</v>
      </c>
      <c r="V83" s="9" t="n">
        <v>45658.08</v>
      </c>
      <c r="W83" s="6" t="inlineStr">
        <is>
          <t>2024-07</t>
        </is>
      </c>
    </row>
    <row r="84">
      <c r="A84" s="2" t="inlineStr">
        <is>
          <t>C084</t>
        </is>
      </c>
      <c r="B84" s="2" t="inlineStr">
        <is>
          <t>Awareness Wave</t>
        </is>
      </c>
      <c r="C84" s="2" t="inlineStr">
        <is>
          <t>Seasonal Sale</t>
        </is>
      </c>
      <c r="D84" s="2" t="inlineStr">
        <is>
          <t>YouTube</t>
        </is>
      </c>
      <c r="E84" s="2" t="inlineStr">
        <is>
          <t>2024-05-04</t>
        </is>
      </c>
      <c r="F84" s="2" t="inlineStr">
        <is>
          <t>2024-05-19</t>
        </is>
      </c>
      <c r="G84" s="2" t="inlineStr">
        <is>
          <t>North</t>
        </is>
      </c>
      <c r="H84" s="2" t="inlineStr">
        <is>
          <t>18-24</t>
        </is>
      </c>
      <c r="I84" s="3" t="n">
        <v>792002</v>
      </c>
      <c r="J84" s="3" t="n">
        <v>10296</v>
      </c>
      <c r="K84" s="4" t="n">
        <v>1.3</v>
      </c>
      <c r="L84" s="3" t="n">
        <v>564</v>
      </c>
      <c r="M84" s="3" t="n">
        <v>294</v>
      </c>
      <c r="N84" s="4" t="n">
        <v>2.86</v>
      </c>
      <c r="O84" s="5" t="n">
        <v>189433.7</v>
      </c>
      <c r="P84" s="5" t="n">
        <v>603776.16</v>
      </c>
      <c r="Q84" s="4" t="n">
        <v>218.73</v>
      </c>
      <c r="R84" s="5" t="n">
        <v>18.4</v>
      </c>
      <c r="S84" s="5" t="n">
        <v>239.18</v>
      </c>
      <c r="T84" s="5" t="n">
        <v>644.33</v>
      </c>
      <c r="U84" s="3" t="n">
        <v>15</v>
      </c>
      <c r="V84" s="5" t="n">
        <v>414342.46</v>
      </c>
      <c r="W84" s="2" t="inlineStr">
        <is>
          <t>2024-05</t>
        </is>
      </c>
    </row>
    <row r="85">
      <c r="A85" s="6" t="inlineStr">
        <is>
          <t>C085</t>
        </is>
      </c>
      <c r="B85" s="6" t="inlineStr">
        <is>
          <t>Product Demo Push</t>
        </is>
      </c>
      <c r="C85" s="6" t="inlineStr">
        <is>
          <t>Lead Generation</t>
        </is>
      </c>
      <c r="D85" s="6" t="inlineStr">
        <is>
          <t>Instagram</t>
        </is>
      </c>
      <c r="E85" s="6" t="inlineStr">
        <is>
          <t>2024-03-15</t>
        </is>
      </c>
      <c r="F85" s="6" t="inlineStr">
        <is>
          <t>2024-03-30</t>
        </is>
      </c>
      <c r="G85" s="6" t="inlineStr">
        <is>
          <t>Central</t>
        </is>
      </c>
      <c r="H85" s="6" t="inlineStr">
        <is>
          <t>18-24</t>
        </is>
      </c>
      <c r="I85" s="7" t="n">
        <v>383228</v>
      </c>
      <c r="J85" s="7" t="n">
        <v>10347</v>
      </c>
      <c r="K85" s="8" t="n">
        <v>2.7</v>
      </c>
      <c r="L85" s="7" t="n">
        <v>411</v>
      </c>
      <c r="M85" s="7" t="n">
        <v>200</v>
      </c>
      <c r="N85" s="8" t="n">
        <v>1.93</v>
      </c>
      <c r="O85" s="9" t="n">
        <v>24199.38</v>
      </c>
      <c r="P85" s="9" t="n">
        <v>47425.5</v>
      </c>
      <c r="Q85" s="8" t="n">
        <v>95.98</v>
      </c>
      <c r="R85" s="9" t="n">
        <v>2.34</v>
      </c>
      <c r="S85" s="9" t="n">
        <v>63.15</v>
      </c>
      <c r="T85" s="9" t="n">
        <v>121</v>
      </c>
      <c r="U85" s="7" t="n">
        <v>15</v>
      </c>
      <c r="V85" s="9" t="n">
        <v>23226.12</v>
      </c>
      <c r="W85" s="6" t="inlineStr">
        <is>
          <t>2024-03</t>
        </is>
      </c>
    </row>
    <row r="86">
      <c r="A86" s="2" t="inlineStr">
        <is>
          <t>C086</t>
        </is>
      </c>
      <c r="B86" s="2" t="inlineStr">
        <is>
          <t>Lead Gen Q1</t>
        </is>
      </c>
      <c r="C86" s="2" t="inlineStr">
        <is>
          <t>Seasonal Sale</t>
        </is>
      </c>
      <c r="D86" s="2" t="inlineStr">
        <is>
          <t>Facebook</t>
        </is>
      </c>
      <c r="E86" s="2" t="inlineStr">
        <is>
          <t>2024-05-15</t>
        </is>
      </c>
      <c r="F86" s="2" t="inlineStr">
        <is>
          <t>2024-05-25</t>
        </is>
      </c>
      <c r="G86" s="2" t="inlineStr">
        <is>
          <t>East</t>
        </is>
      </c>
      <c r="H86" s="2" t="inlineStr">
        <is>
          <t>18-24</t>
        </is>
      </c>
      <c r="I86" s="3" t="n">
        <v>113228</v>
      </c>
      <c r="J86" s="3" t="n">
        <v>5853</v>
      </c>
      <c r="K86" s="4" t="n">
        <v>5.17</v>
      </c>
      <c r="L86" s="3" t="n">
        <v>427</v>
      </c>
      <c r="M86" s="3" t="n">
        <v>197</v>
      </c>
      <c r="N86" s="4" t="n">
        <v>3.37</v>
      </c>
      <c r="O86" s="5" t="n">
        <v>90509.8</v>
      </c>
      <c r="P86" s="5" t="n">
        <v>178204.16</v>
      </c>
      <c r="Q86" s="4" t="n">
        <v>96.89</v>
      </c>
      <c r="R86" s="5" t="n">
        <v>15.46</v>
      </c>
      <c r="S86" s="5" t="n">
        <v>799.36</v>
      </c>
      <c r="T86" s="5" t="n">
        <v>459.44</v>
      </c>
      <c r="U86" s="3" t="n">
        <v>10</v>
      </c>
      <c r="V86" s="5" t="n">
        <v>87694.36</v>
      </c>
      <c r="W86" s="2" t="inlineStr">
        <is>
          <t>2024-05</t>
        </is>
      </c>
    </row>
    <row r="87">
      <c r="A87" s="6" t="inlineStr">
        <is>
          <t>C087</t>
        </is>
      </c>
      <c r="B87" s="6" t="inlineStr">
        <is>
          <t>Flash Sale Weekend</t>
        </is>
      </c>
      <c r="C87" s="6" t="inlineStr">
        <is>
          <t>Brand Awareness</t>
        </is>
      </c>
      <c r="D87" s="6" t="inlineStr">
        <is>
          <t>Email</t>
        </is>
      </c>
      <c r="E87" s="6" t="inlineStr">
        <is>
          <t>2024-01-23</t>
        </is>
      </c>
      <c r="F87" s="6" t="inlineStr">
        <is>
          <t>2024-03-03</t>
        </is>
      </c>
      <c r="G87" s="6" t="inlineStr">
        <is>
          <t>West</t>
        </is>
      </c>
      <c r="H87" s="6" t="inlineStr">
        <is>
          <t>55+</t>
        </is>
      </c>
      <c r="I87" s="7" t="n">
        <v>29767</v>
      </c>
      <c r="J87" s="7" t="n">
        <v>5715</v>
      </c>
      <c r="K87" s="8" t="n">
        <v>19.2</v>
      </c>
      <c r="L87" s="7" t="n">
        <v>1142</v>
      </c>
      <c r="M87" s="7" t="n">
        <v>893</v>
      </c>
      <c r="N87" s="8" t="n">
        <v>15.63</v>
      </c>
      <c r="O87" s="9" t="n">
        <v>23569.94</v>
      </c>
      <c r="P87" s="9" t="n">
        <v>50040.32</v>
      </c>
      <c r="Q87" s="8" t="n">
        <v>112.31</v>
      </c>
      <c r="R87" s="9" t="n">
        <v>4.12</v>
      </c>
      <c r="S87" s="9" t="n">
        <v>791.8099999999999</v>
      </c>
      <c r="T87" s="9" t="n">
        <v>26.39</v>
      </c>
      <c r="U87" s="7" t="n">
        <v>40</v>
      </c>
      <c r="V87" s="9" t="n">
        <v>26470.38</v>
      </c>
      <c r="W87" s="6" t="inlineStr">
        <is>
          <t>2024-01</t>
        </is>
      </c>
    </row>
    <row r="88">
      <c r="A88" s="2" t="inlineStr">
        <is>
          <t>C088</t>
        </is>
      </c>
      <c r="B88" s="2" t="inlineStr">
        <is>
          <t>Festive Season Blitz</t>
        </is>
      </c>
      <c r="C88" s="2" t="inlineStr">
        <is>
          <t>Product Launch</t>
        </is>
      </c>
      <c r="D88" s="2" t="inlineStr">
        <is>
          <t>Google Ads</t>
        </is>
      </c>
      <c r="E88" s="2" t="inlineStr">
        <is>
          <t>2024-06-13</t>
        </is>
      </c>
      <c r="F88" s="2" t="inlineStr">
        <is>
          <t>2024-07-28</t>
        </is>
      </c>
      <c r="G88" s="2" t="inlineStr">
        <is>
          <t>West</t>
        </is>
      </c>
      <c r="H88" s="2" t="inlineStr">
        <is>
          <t>18-24</t>
        </is>
      </c>
      <c r="I88" s="3" t="n">
        <v>88884</v>
      </c>
      <c r="J88" s="3" t="n">
        <v>4017</v>
      </c>
      <c r="K88" s="4" t="n">
        <v>4.52</v>
      </c>
      <c r="L88" s="3" t="n">
        <v>283</v>
      </c>
      <c r="M88" s="3" t="n">
        <v>140</v>
      </c>
      <c r="N88" s="4" t="n">
        <v>3.49</v>
      </c>
      <c r="O88" s="5" t="n">
        <v>121367.75</v>
      </c>
      <c r="P88" s="5" t="n">
        <v>244455.35</v>
      </c>
      <c r="Q88" s="4" t="n">
        <v>101.42</v>
      </c>
      <c r="R88" s="5" t="n">
        <v>30.21</v>
      </c>
      <c r="S88" s="5" t="n">
        <v>1365.46</v>
      </c>
      <c r="T88" s="5" t="n">
        <v>866.91</v>
      </c>
      <c r="U88" s="3" t="n">
        <v>45</v>
      </c>
      <c r="V88" s="5" t="n">
        <v>123087.6</v>
      </c>
      <c r="W88" s="2" t="inlineStr">
        <is>
          <t>2024-06</t>
        </is>
      </c>
    </row>
    <row r="89">
      <c r="A89" s="6" t="inlineStr">
        <is>
          <t>C089</t>
        </is>
      </c>
      <c r="B89" s="6" t="inlineStr">
        <is>
          <t>App Install Drive</t>
        </is>
      </c>
      <c r="C89" s="6" t="inlineStr">
        <is>
          <t>Seasonal Sale</t>
        </is>
      </c>
      <c r="D89" s="6" t="inlineStr">
        <is>
          <t>Email</t>
        </is>
      </c>
      <c r="E89" s="6" t="inlineStr">
        <is>
          <t>2024-08-08</t>
        </is>
      </c>
      <c r="F89" s="6" t="inlineStr">
        <is>
          <t>2024-08-21</t>
        </is>
      </c>
      <c r="G89" s="6" t="inlineStr">
        <is>
          <t>East</t>
        </is>
      </c>
      <c r="H89" s="6" t="inlineStr">
        <is>
          <t>45-54</t>
        </is>
      </c>
      <c r="I89" s="7" t="n">
        <v>17498</v>
      </c>
      <c r="J89" s="7" t="n">
        <v>4353</v>
      </c>
      <c r="K89" s="8" t="n">
        <v>24.88</v>
      </c>
      <c r="L89" s="7" t="n">
        <v>427.5</v>
      </c>
      <c r="M89" s="7" t="n">
        <v>544</v>
      </c>
      <c r="N89" s="8" t="n">
        <v>12.5</v>
      </c>
      <c r="O89" s="9" t="n">
        <v>32804.16</v>
      </c>
      <c r="P89" s="9" t="n">
        <v>69943.98</v>
      </c>
      <c r="Q89" s="8" t="n">
        <v>113.22</v>
      </c>
      <c r="R89" s="9" t="n">
        <v>7.54</v>
      </c>
      <c r="S89" s="9" t="n">
        <v>1874.74</v>
      </c>
      <c r="T89" s="9" t="n">
        <v>60.3</v>
      </c>
      <c r="U89" s="7" t="n">
        <v>13</v>
      </c>
      <c r="V89" s="9" t="n">
        <v>37139.82</v>
      </c>
      <c r="W89" s="6" t="inlineStr">
        <is>
          <t>2024-08</t>
        </is>
      </c>
    </row>
    <row r="90">
      <c r="A90" s="2" t="inlineStr">
        <is>
          <t>C090</t>
        </is>
      </c>
      <c r="B90" s="2" t="inlineStr">
        <is>
          <t>LinkedIn B2B Push</t>
        </is>
      </c>
      <c r="C90" s="2" t="inlineStr">
        <is>
          <t>Product Launch</t>
        </is>
      </c>
      <c r="D90" s="2" t="inlineStr">
        <is>
          <t>Facebook</t>
        </is>
      </c>
      <c r="E90" s="2" t="inlineStr">
        <is>
          <t>2024-07-31</t>
        </is>
      </c>
      <c r="F90" s="2" t="inlineStr">
        <is>
          <t>2024-08-13</t>
        </is>
      </c>
      <c r="G90" s="2" t="inlineStr">
        <is>
          <t>East</t>
        </is>
      </c>
      <c r="H90" s="2" t="inlineStr">
        <is>
          <t>45-54</t>
        </is>
      </c>
      <c r="I90" s="3" t="n">
        <v>161932</v>
      </c>
      <c r="J90" s="3" t="n">
        <v>6752</v>
      </c>
      <c r="K90" s="4" t="n">
        <v>4.17</v>
      </c>
      <c r="L90" s="3" t="n">
        <v>431</v>
      </c>
      <c r="M90" s="3" t="n">
        <v>256</v>
      </c>
      <c r="N90" s="4" t="n">
        <v>3.79</v>
      </c>
      <c r="O90" s="5" t="n">
        <v>53742.87</v>
      </c>
      <c r="P90" s="5" t="n">
        <v>120289.6</v>
      </c>
      <c r="Q90" s="4" t="n">
        <v>123.82</v>
      </c>
      <c r="R90" s="5" t="n">
        <v>7.96</v>
      </c>
      <c r="S90" s="5" t="n">
        <v>331.89</v>
      </c>
      <c r="T90" s="5" t="n">
        <v>209.93</v>
      </c>
      <c r="U90" s="3" t="n">
        <v>13</v>
      </c>
      <c r="V90" s="5" t="n">
        <v>66546.73</v>
      </c>
      <c r="W90" s="2" t="inlineStr">
        <is>
          <t>2024-07</t>
        </is>
      </c>
    </row>
    <row r="91">
      <c r="A91" s="6" t="inlineStr">
        <is>
          <t>C091</t>
        </is>
      </c>
      <c r="B91" s="6" t="inlineStr">
        <is>
          <t>New Year Kickoff</t>
        </is>
      </c>
      <c r="C91" s="6" t="inlineStr">
        <is>
          <t>Brand Awareness</t>
        </is>
      </c>
      <c r="D91" s="6" t="inlineStr">
        <is>
          <t>Google Ads</t>
        </is>
      </c>
      <c r="E91" s="6" t="inlineStr">
        <is>
          <t>2024-07-09</t>
        </is>
      </c>
      <c r="F91" s="6" t="inlineStr">
        <is>
          <t>2024-07-24</t>
        </is>
      </c>
      <c r="G91" s="6" t="inlineStr">
        <is>
          <t>North</t>
        </is>
      </c>
      <c r="H91" s="6" t="inlineStr">
        <is>
          <t>45-54</t>
        </is>
      </c>
      <c r="I91" s="7" t="n">
        <v>195849</v>
      </c>
      <c r="J91" s="7" t="n">
        <v>8793</v>
      </c>
      <c r="K91" s="8" t="n">
        <v>4.49</v>
      </c>
      <c r="L91" s="7" t="n">
        <v>1055</v>
      </c>
      <c r="M91" s="7" t="n">
        <v>547</v>
      </c>
      <c r="N91" s="8" t="n">
        <v>6.22</v>
      </c>
      <c r="O91" s="9" t="n">
        <v>108504.59</v>
      </c>
      <c r="P91" s="9" t="n">
        <v>211435.88</v>
      </c>
      <c r="Q91" s="8" t="n">
        <v>94.86</v>
      </c>
      <c r="R91" s="9" t="n">
        <v>12.34</v>
      </c>
      <c r="S91" s="9" t="n">
        <v>554.02</v>
      </c>
      <c r="T91" s="9" t="n">
        <v>198.36</v>
      </c>
      <c r="U91" s="7" t="n">
        <v>15</v>
      </c>
      <c r="V91" s="9" t="n">
        <v>102931.29</v>
      </c>
      <c r="W91" s="6" t="inlineStr">
        <is>
          <t>2024-07</t>
        </is>
      </c>
    </row>
    <row r="92">
      <c r="A92" s="2" t="inlineStr">
        <is>
          <t>C092</t>
        </is>
      </c>
      <c r="B92" s="2" t="inlineStr">
        <is>
          <t>Referral Boost Program</t>
        </is>
      </c>
      <c r="C92" s="2" t="inlineStr">
        <is>
          <t>Product Launch</t>
        </is>
      </c>
      <c r="D92" s="2" t="inlineStr">
        <is>
          <t>YouTube</t>
        </is>
      </c>
      <c r="E92" s="2" t="inlineStr">
        <is>
          <t>2024-06-08</t>
        </is>
      </c>
      <c r="F92" s="2" t="inlineStr">
        <is>
          <t>2024-07-07</t>
        </is>
      </c>
      <c r="G92" s="2" t="inlineStr">
        <is>
          <t>North</t>
        </is>
      </c>
      <c r="H92" s="2" t="inlineStr">
        <is>
          <t>35-44</t>
        </is>
      </c>
      <c r="I92" s="3" t="n">
        <v>308633</v>
      </c>
      <c r="J92" s="3" t="n">
        <v>5370</v>
      </c>
      <c r="K92" s="4" t="n">
        <v>1.74</v>
      </c>
      <c r="L92" s="3" t="n">
        <v>178</v>
      </c>
      <c r="M92" s="3" t="n">
        <v>87</v>
      </c>
      <c r="N92" s="4" t="n">
        <v>1.62</v>
      </c>
      <c r="O92" s="5" t="n">
        <v>135284.28</v>
      </c>
      <c r="P92" s="5" t="n">
        <v>262488.52</v>
      </c>
      <c r="Q92" s="4" t="n">
        <v>94.03</v>
      </c>
      <c r="R92" s="5" t="n">
        <v>25.19</v>
      </c>
      <c r="S92" s="5" t="n">
        <v>438.33</v>
      </c>
      <c r="T92" s="5" t="n">
        <v>1554.99</v>
      </c>
      <c r="U92" s="3" t="n">
        <v>29</v>
      </c>
      <c r="V92" s="5" t="n">
        <v>127204.24</v>
      </c>
      <c r="W92" s="2" t="inlineStr">
        <is>
          <t>2024-06</t>
        </is>
      </c>
    </row>
    <row r="93">
      <c r="A93" s="6" t="inlineStr">
        <is>
          <t>C093</t>
        </is>
      </c>
      <c r="B93" s="6" t="inlineStr">
        <is>
          <t>Win-Back Campaign</t>
        </is>
      </c>
      <c r="C93" s="6" t="inlineStr">
        <is>
          <t>Retargeting</t>
        </is>
      </c>
      <c r="D93" s="6" t="inlineStr">
        <is>
          <t>Email</t>
        </is>
      </c>
      <c r="E93" s="6" t="inlineStr">
        <is>
          <t>2024-04-25</t>
        </is>
      </c>
      <c r="F93" s="6" t="inlineStr">
        <is>
          <t>2024-05-29</t>
        </is>
      </c>
      <c r="G93" s="6" t="inlineStr">
        <is>
          <t>North</t>
        </is>
      </c>
      <c r="H93" s="6" t="inlineStr">
        <is>
          <t>35-44</t>
        </is>
      </c>
      <c r="I93" s="7" t="n">
        <v>46763</v>
      </c>
      <c r="J93" s="7" t="n">
        <v>12452</v>
      </c>
      <c r="K93" s="8" t="n">
        <v>26.63</v>
      </c>
      <c r="L93" s="7" t="n">
        <v>3525</v>
      </c>
      <c r="M93" s="7" t="n">
        <v>1765</v>
      </c>
      <c r="N93" s="8" t="n">
        <v>14.17</v>
      </c>
      <c r="O93" s="9" t="n">
        <v>26650.43</v>
      </c>
      <c r="P93" s="9" t="n">
        <v>68267.42</v>
      </c>
      <c r="Q93" s="8" t="n">
        <v>156.16</v>
      </c>
      <c r="R93" s="9" t="n">
        <v>2.14</v>
      </c>
      <c r="S93" s="9" t="n">
        <v>569.9</v>
      </c>
      <c r="T93" s="9" t="n">
        <v>15.1</v>
      </c>
      <c r="U93" s="7" t="n">
        <v>34</v>
      </c>
      <c r="V93" s="9" t="n">
        <v>41616.99</v>
      </c>
      <c r="W93" s="6" t="inlineStr">
        <is>
          <t>2024-04</t>
        </is>
      </c>
    </row>
    <row r="94">
      <c r="A94" s="2" t="inlineStr">
        <is>
          <t>C094</t>
        </is>
      </c>
      <c r="B94" s="2" t="inlineStr">
        <is>
          <t>Product Demo Push</t>
        </is>
      </c>
      <c r="C94" s="2" t="inlineStr">
        <is>
          <t>Retargeting</t>
        </is>
      </c>
      <c r="D94" s="2" t="inlineStr">
        <is>
          <t>YouTube</t>
        </is>
      </c>
      <c r="E94" s="2" t="inlineStr">
        <is>
          <t>2024-06-07</t>
        </is>
      </c>
      <c r="F94" s="2" t="inlineStr">
        <is>
          <t>2024-07-05</t>
        </is>
      </c>
      <c r="G94" s="2" t="inlineStr">
        <is>
          <t>North</t>
        </is>
      </c>
      <c r="H94" s="2" t="inlineStr">
        <is>
          <t>25-34</t>
        </is>
      </c>
      <c r="I94" s="3" t="n">
        <v>568074</v>
      </c>
      <c r="J94" s="3" t="n">
        <v>6021</v>
      </c>
      <c r="K94" s="4" t="n">
        <v>1.06</v>
      </c>
      <c r="L94" s="3" t="n">
        <v>342</v>
      </c>
      <c r="M94" s="3" t="n">
        <v>177</v>
      </c>
      <c r="N94" s="4" t="n">
        <v>2.94</v>
      </c>
      <c r="O94" s="5" t="n">
        <v>136644.79</v>
      </c>
      <c r="P94" s="5" t="n">
        <v>393308.22</v>
      </c>
      <c r="Q94" s="4" t="n">
        <v>187.83</v>
      </c>
      <c r="R94" s="5" t="n">
        <v>22.69</v>
      </c>
      <c r="S94" s="5" t="n">
        <v>240.54</v>
      </c>
      <c r="T94" s="5" t="n">
        <v>772</v>
      </c>
      <c r="U94" s="3" t="n">
        <v>28</v>
      </c>
      <c r="V94" s="5" t="n">
        <v>256663.43</v>
      </c>
      <c r="W94" s="2" t="inlineStr">
        <is>
          <t>2024-06</t>
        </is>
      </c>
    </row>
    <row r="95">
      <c r="A95" s="6" t="inlineStr">
        <is>
          <t>C095</t>
        </is>
      </c>
      <c r="B95" s="6" t="inlineStr">
        <is>
          <t>LinkedIn B2B Push</t>
        </is>
      </c>
      <c r="C95" s="6" t="inlineStr">
        <is>
          <t>Brand Awareness</t>
        </is>
      </c>
      <c r="D95" s="6" t="inlineStr">
        <is>
          <t>Google Ads</t>
        </is>
      </c>
      <c r="E95" s="6" t="inlineStr">
        <is>
          <t>2024-08-02</t>
        </is>
      </c>
      <c r="F95" s="6" t="inlineStr">
        <is>
          <t>2024-09-07</t>
        </is>
      </c>
      <c r="G95" s="6" t="inlineStr">
        <is>
          <t>Central</t>
        </is>
      </c>
      <c r="H95" s="6" t="inlineStr">
        <is>
          <t>25-34</t>
        </is>
      </c>
      <c r="I95" s="7" t="n">
        <v>139363</v>
      </c>
      <c r="J95" s="7" t="n">
        <v>6912</v>
      </c>
      <c r="K95" s="8" t="n">
        <v>4.96</v>
      </c>
      <c r="L95" s="7" t="n">
        <v>408</v>
      </c>
      <c r="M95" s="7" t="n">
        <v>252</v>
      </c>
      <c r="N95" s="8" t="n">
        <v>3.65</v>
      </c>
      <c r="O95" s="9" t="n">
        <v>118798.01</v>
      </c>
      <c r="P95" s="9" t="n">
        <v>382532.12</v>
      </c>
      <c r="Q95" s="8" t="n">
        <v>222</v>
      </c>
      <c r="R95" s="9" t="n">
        <v>17.19</v>
      </c>
      <c r="S95" s="9" t="n">
        <v>852.4400000000001</v>
      </c>
      <c r="T95" s="9" t="n">
        <v>471.42</v>
      </c>
      <c r="U95" s="7" t="n">
        <v>36</v>
      </c>
      <c r="V95" s="9" t="n">
        <v>263734.11</v>
      </c>
      <c r="W95" s="6" t="inlineStr">
        <is>
          <t>2024-08</t>
        </is>
      </c>
    </row>
    <row r="96">
      <c r="A96" s="2" t="inlineStr">
        <is>
          <t>C096</t>
        </is>
      </c>
      <c r="B96" s="2" t="inlineStr">
        <is>
          <t>Festive Season Blitz</t>
        </is>
      </c>
      <c r="C96" s="2" t="inlineStr">
        <is>
          <t>Lead Generation</t>
        </is>
      </c>
      <c r="D96" s="2" t="inlineStr">
        <is>
          <t>Facebook</t>
        </is>
      </c>
      <c r="E96" s="2" t="inlineStr">
        <is>
          <t>2024-05-19</t>
        </is>
      </c>
      <c r="F96" s="2" t="inlineStr">
        <is>
          <t>2024-06-23</t>
        </is>
      </c>
      <c r="G96" s="2" t="inlineStr">
        <is>
          <t>Central</t>
        </is>
      </c>
      <c r="H96" s="2" t="inlineStr">
        <is>
          <t>18-24</t>
        </is>
      </c>
      <c r="I96" s="3" t="n">
        <v>253523</v>
      </c>
      <c r="J96" s="3" t="n">
        <v>10546</v>
      </c>
      <c r="K96" s="4" t="n">
        <v>4.16</v>
      </c>
      <c r="L96" s="3" t="n">
        <v>662</v>
      </c>
      <c r="M96" s="3" t="n">
        <v>381</v>
      </c>
      <c r="N96" s="4" t="n">
        <v>3.61</v>
      </c>
      <c r="O96" s="5" t="n">
        <v>64195.69</v>
      </c>
      <c r="P96" s="5" t="n">
        <v>88151.08</v>
      </c>
      <c r="Q96" s="4" t="n">
        <v>37.32</v>
      </c>
      <c r="R96" s="5" t="n">
        <v>6.09</v>
      </c>
      <c r="S96" s="5" t="n">
        <v>253.21</v>
      </c>
      <c r="T96" s="5" t="n">
        <v>168.49</v>
      </c>
      <c r="U96" s="3" t="n">
        <v>35</v>
      </c>
      <c r="V96" s="5" t="n">
        <v>23955.39</v>
      </c>
      <c r="W96" s="2" t="inlineStr">
        <is>
          <t>2024-05</t>
        </is>
      </c>
    </row>
    <row r="97">
      <c r="A97" s="6" t="inlineStr">
        <is>
          <t>C097</t>
        </is>
      </c>
      <c r="B97" s="6" t="inlineStr">
        <is>
          <t>Holiday Countdown</t>
        </is>
      </c>
      <c r="C97" s="6" t="inlineStr">
        <is>
          <t>Brand Awareness</t>
        </is>
      </c>
      <c r="D97" s="6" t="inlineStr">
        <is>
          <t>LinkedIn</t>
        </is>
      </c>
      <c r="E97" s="6" t="inlineStr">
        <is>
          <t>2024-09-26</t>
        </is>
      </c>
      <c r="F97" s="6" t="inlineStr">
        <is>
          <t>2024-10-22</t>
        </is>
      </c>
      <c r="G97" s="6" t="inlineStr">
        <is>
          <t>East</t>
        </is>
      </c>
      <c r="H97" s="6" t="inlineStr">
        <is>
          <t>55+</t>
        </is>
      </c>
      <c r="I97" s="7" t="n">
        <v>22976</v>
      </c>
      <c r="J97" s="7" t="n">
        <v>503</v>
      </c>
      <c r="K97" s="8" t="n">
        <v>2.19</v>
      </c>
      <c r="L97" s="7" t="n">
        <v>49</v>
      </c>
      <c r="M97" s="7" t="n">
        <v>39</v>
      </c>
      <c r="N97" s="8" t="n">
        <v>7.75</v>
      </c>
      <c r="O97" s="9" t="n">
        <v>95359.77</v>
      </c>
      <c r="P97" s="9" t="n">
        <v>153239.48</v>
      </c>
      <c r="Q97" s="8" t="n">
        <v>60.7</v>
      </c>
      <c r="R97" s="9" t="n">
        <v>189.58</v>
      </c>
      <c r="S97" s="9" t="n">
        <v>4150.41</v>
      </c>
      <c r="T97" s="9" t="n">
        <v>2445.12</v>
      </c>
      <c r="U97" s="7" t="n">
        <v>26</v>
      </c>
      <c r="V97" s="9" t="n">
        <v>57879.71</v>
      </c>
      <c r="W97" s="6" t="inlineStr">
        <is>
          <t>2024-09</t>
        </is>
      </c>
    </row>
    <row r="98">
      <c r="A98" s="2" t="inlineStr">
        <is>
          <t>C098</t>
        </is>
      </c>
      <c r="B98" s="2" t="inlineStr">
        <is>
          <t>New Year Kickoff</t>
        </is>
      </c>
      <c r="C98" s="2" t="inlineStr">
        <is>
          <t>Retargeting</t>
        </is>
      </c>
      <c r="D98" s="2" t="inlineStr">
        <is>
          <t>Facebook</t>
        </is>
      </c>
      <c r="E98" s="2" t="inlineStr">
        <is>
          <t>2024-01-04</t>
        </is>
      </c>
      <c r="F98" s="2" t="inlineStr">
        <is>
          <t>2024-02-11</t>
        </is>
      </c>
      <c r="G98" s="2" t="inlineStr">
        <is>
          <t>East</t>
        </is>
      </c>
      <c r="H98" s="2" t="inlineStr">
        <is>
          <t>35-44</t>
        </is>
      </c>
      <c r="I98" s="3" t="n">
        <v>275825</v>
      </c>
      <c r="J98" s="3" t="n">
        <v>11529</v>
      </c>
      <c r="K98" s="4" t="n">
        <v>4.18</v>
      </c>
      <c r="L98" s="3" t="n">
        <v>476</v>
      </c>
      <c r="M98" s="3" t="n">
        <v>252</v>
      </c>
      <c r="N98" s="4" t="n">
        <v>2.19</v>
      </c>
      <c r="O98" s="5" t="n">
        <v>60167.31</v>
      </c>
      <c r="P98" s="5" t="n">
        <v>186521.67</v>
      </c>
      <c r="Q98" s="4" t="n">
        <v>210.01</v>
      </c>
      <c r="R98" s="5" t="n">
        <v>5.22</v>
      </c>
      <c r="S98" s="5" t="n">
        <v>218.14</v>
      </c>
      <c r="T98" s="5" t="n">
        <v>238.76</v>
      </c>
      <c r="U98" s="3" t="n">
        <v>38</v>
      </c>
      <c r="V98" s="5" t="n">
        <v>126354.36</v>
      </c>
      <c r="W98" s="2" t="inlineStr">
        <is>
          <t>2024-01</t>
        </is>
      </c>
    </row>
    <row r="99">
      <c r="A99" s="6" t="inlineStr">
        <is>
          <t>C099</t>
        </is>
      </c>
      <c r="B99" s="6" t="inlineStr">
        <is>
          <t>YouTube Pre-Roll</t>
        </is>
      </c>
      <c r="C99" s="6" t="inlineStr">
        <is>
          <t>Brand Awareness</t>
        </is>
      </c>
      <c r="D99" s="6" t="inlineStr">
        <is>
          <t>Instagram</t>
        </is>
      </c>
      <c r="E99" s="6" t="inlineStr">
        <is>
          <t>2024-01-10</t>
        </is>
      </c>
      <c r="F99" s="6" t="inlineStr">
        <is>
          <t>2024-02-15</t>
        </is>
      </c>
      <c r="G99" s="6" t="inlineStr">
        <is>
          <t>West</t>
        </is>
      </c>
      <c r="H99" s="6" t="inlineStr">
        <is>
          <t>18-24</t>
        </is>
      </c>
      <c r="I99" s="7" t="n">
        <v>140822</v>
      </c>
      <c r="J99" s="7" t="n">
        <v>5872</v>
      </c>
      <c r="K99" s="8" t="n">
        <v>4.17</v>
      </c>
      <c r="L99" s="7" t="n">
        <v>334</v>
      </c>
      <c r="M99" s="7" t="n">
        <v>172</v>
      </c>
      <c r="N99" s="8" t="n">
        <v>2.93</v>
      </c>
      <c r="O99" s="9" t="n">
        <v>73032.78999999999</v>
      </c>
      <c r="P99" s="9" t="n">
        <v>151329.6</v>
      </c>
      <c r="Q99" s="8" t="n">
        <v>107.21</v>
      </c>
      <c r="R99" s="9" t="n">
        <v>12.44</v>
      </c>
      <c r="S99" s="9" t="n">
        <v>518.62</v>
      </c>
      <c r="T99" s="9" t="n">
        <v>424.61</v>
      </c>
      <c r="U99" s="7" t="n">
        <v>36</v>
      </c>
      <c r="V99" s="9" t="n">
        <v>78296.81</v>
      </c>
      <c r="W99" s="6" t="inlineStr">
        <is>
          <t>2024-01</t>
        </is>
      </c>
    </row>
    <row r="100">
      <c r="A100" s="2" t="inlineStr">
        <is>
          <t>C100</t>
        </is>
      </c>
      <c r="B100" s="2" t="inlineStr">
        <is>
          <t>Growth Hack Sprint</t>
        </is>
      </c>
      <c r="C100" s="2" t="inlineStr">
        <is>
          <t>Lead Generation</t>
        </is>
      </c>
      <c r="D100" s="2" t="inlineStr">
        <is>
          <t>Instagram</t>
        </is>
      </c>
      <c r="E100" s="2" t="inlineStr">
        <is>
          <t>2024-02-15</t>
        </is>
      </c>
      <c r="F100" s="2" t="inlineStr">
        <is>
          <t>2024-03-20</t>
        </is>
      </c>
      <c r="G100" s="2" t="inlineStr">
        <is>
          <t>Central</t>
        </is>
      </c>
      <c r="H100" s="2" t="inlineStr">
        <is>
          <t>45-54</t>
        </is>
      </c>
      <c r="I100" s="3" t="n">
        <v>155502</v>
      </c>
      <c r="J100" s="3" t="n">
        <v>4167</v>
      </c>
      <c r="K100" s="4" t="n">
        <v>2.68</v>
      </c>
      <c r="L100" s="3" t="n">
        <v>231</v>
      </c>
      <c r="M100" s="3" t="n">
        <v>123</v>
      </c>
      <c r="N100" s="4" t="n">
        <v>2.95</v>
      </c>
      <c r="O100" s="5" t="n">
        <v>88266.33</v>
      </c>
      <c r="P100" s="5" t="n">
        <v>255083.65</v>
      </c>
      <c r="Q100" s="4" t="n">
        <v>188.99</v>
      </c>
      <c r="R100" s="5" t="n">
        <v>21.18</v>
      </c>
      <c r="S100" s="5" t="n">
        <v>567.62</v>
      </c>
      <c r="T100" s="5" t="n">
        <v>717.61</v>
      </c>
      <c r="U100" s="3" t="n">
        <v>34</v>
      </c>
      <c r="V100" s="5" t="n">
        <v>166817.32</v>
      </c>
      <c r="W100" s="2" t="inlineStr">
        <is>
          <t>2024-02</t>
        </is>
      </c>
    </row>
    <row r="101">
      <c r="A101" s="6" t="inlineStr">
        <is>
          <t>C101</t>
        </is>
      </c>
      <c r="B101" s="6" t="inlineStr">
        <is>
          <t>App Install Drive</t>
        </is>
      </c>
      <c r="C101" s="6" t="inlineStr">
        <is>
          <t>Retargeting</t>
        </is>
      </c>
      <c r="D101" s="6" t="inlineStr">
        <is>
          <t>Facebook</t>
        </is>
      </c>
      <c r="E101" s="6" t="inlineStr">
        <is>
          <t>2024-02-28</t>
        </is>
      </c>
      <c r="F101" s="6" t="inlineStr">
        <is>
          <t>2024-04-08</t>
        </is>
      </c>
      <c r="G101" s="6" t="inlineStr">
        <is>
          <t>South</t>
        </is>
      </c>
      <c r="H101" s="6" t="inlineStr">
        <is>
          <t>18-24</t>
        </is>
      </c>
      <c r="I101" s="7" t="n">
        <v>213680</v>
      </c>
      <c r="J101" s="7" t="n">
        <v>7307</v>
      </c>
      <c r="K101" s="8" t="n">
        <v>3.42</v>
      </c>
      <c r="L101" s="7" t="n">
        <v>498</v>
      </c>
      <c r="M101" s="7" t="n">
        <v>301</v>
      </c>
      <c r="N101" s="8" t="n">
        <v>4.12</v>
      </c>
      <c r="O101" s="9" t="n">
        <v>129040.17</v>
      </c>
      <c r="P101" s="9" t="n">
        <v>215115.8</v>
      </c>
      <c r="Q101" s="8" t="n">
        <v>66.7</v>
      </c>
      <c r="R101" s="9" t="n">
        <v>17.66</v>
      </c>
      <c r="S101" s="9" t="n">
        <v>603.89</v>
      </c>
      <c r="T101" s="9" t="n">
        <v>428.7</v>
      </c>
      <c r="U101" s="7" t="n">
        <v>40</v>
      </c>
      <c r="V101" s="9" t="n">
        <v>86075.63</v>
      </c>
      <c r="W101" s="6" t="inlineStr">
        <is>
          <t>2024-02</t>
        </is>
      </c>
    </row>
    <row r="102">
      <c r="A102" s="2" t="inlineStr">
        <is>
          <t>C102</t>
        </is>
      </c>
      <c r="B102" s="2" t="inlineStr">
        <is>
          <t>Referral Boost Program</t>
        </is>
      </c>
      <c r="C102" s="2" t="inlineStr">
        <is>
          <t>Retargeting</t>
        </is>
      </c>
      <c r="D102" s="2" t="inlineStr">
        <is>
          <t>Facebook</t>
        </is>
      </c>
      <c r="E102" s="2" t="inlineStr">
        <is>
          <t>2024-03-19</t>
        </is>
      </c>
      <c r="F102" s="2" t="inlineStr">
        <is>
          <t>2024-03-30</t>
        </is>
      </c>
      <c r="G102" s="2" t="inlineStr">
        <is>
          <t>South</t>
        </is>
      </c>
      <c r="H102" s="2" t="inlineStr">
        <is>
          <t>25-34</t>
        </is>
      </c>
      <c r="I102" s="3" t="n">
        <v>126437</v>
      </c>
      <c r="J102" s="3" t="n">
        <v>7383</v>
      </c>
      <c r="K102" s="4" t="n">
        <v>5.84</v>
      </c>
      <c r="L102" s="3" t="n">
        <v>488</v>
      </c>
      <c r="M102" s="3" t="n">
        <v>271</v>
      </c>
      <c r="N102" s="4" t="n">
        <v>3.67</v>
      </c>
      <c r="O102" s="5" t="n">
        <v>114688.35</v>
      </c>
      <c r="P102" s="5" t="n">
        <v>249719.27</v>
      </c>
      <c r="Q102" s="4" t="n">
        <v>117.74</v>
      </c>
      <c r="R102" s="5" t="n">
        <v>15.53</v>
      </c>
      <c r="S102" s="5" t="n">
        <v>907.08</v>
      </c>
      <c r="T102" s="5" t="n">
        <v>423.2</v>
      </c>
      <c r="U102" s="3" t="n">
        <v>11</v>
      </c>
      <c r="V102" s="5" t="n">
        <v>135030.92</v>
      </c>
      <c r="W102" s="2" t="inlineStr">
        <is>
          <t>2024-03</t>
        </is>
      </c>
    </row>
    <row r="103">
      <c r="A103" s="6" t="inlineStr">
        <is>
          <t>C103</t>
        </is>
      </c>
      <c r="B103" s="6" t="inlineStr">
        <is>
          <t>Brand Launch 2024</t>
        </is>
      </c>
      <c r="C103" s="6" t="inlineStr">
        <is>
          <t>Seasonal Sale</t>
        </is>
      </c>
      <c r="D103" s="6" t="inlineStr">
        <is>
          <t>Email</t>
        </is>
      </c>
      <c r="E103" s="6" t="inlineStr">
        <is>
          <t>2024-08-13</t>
        </is>
      </c>
      <c r="F103" s="6" t="inlineStr">
        <is>
          <t>2024-08-24</t>
        </is>
      </c>
      <c r="G103" s="6" t="inlineStr">
        <is>
          <t>East</t>
        </is>
      </c>
      <c r="H103" s="6" t="inlineStr">
        <is>
          <t>35-44</t>
        </is>
      </c>
      <c r="I103" s="7" t="n">
        <v>40731</v>
      </c>
      <c r="J103" s="7" t="n">
        <v>7726</v>
      </c>
      <c r="K103" s="8" t="n">
        <v>18.97</v>
      </c>
      <c r="L103" s="7" t="n">
        <v>427.5</v>
      </c>
      <c r="M103" s="7" t="n">
        <v>697</v>
      </c>
      <c r="N103" s="8" t="n">
        <v>9.02</v>
      </c>
      <c r="O103" s="9" t="n">
        <v>6434.91</v>
      </c>
      <c r="P103" s="9" t="n">
        <v>8224.190000000001</v>
      </c>
      <c r="Q103" s="8" t="n">
        <v>27.81</v>
      </c>
      <c r="R103" s="9" t="n">
        <v>0.83</v>
      </c>
      <c r="S103" s="9" t="n">
        <v>157.99</v>
      </c>
      <c r="T103" s="9" t="n">
        <v>9.23</v>
      </c>
      <c r="U103" s="7" t="n">
        <v>11</v>
      </c>
      <c r="V103" s="9" t="n">
        <v>1789.28</v>
      </c>
      <c r="W103" s="6" t="inlineStr">
        <is>
          <t>2024-08</t>
        </is>
      </c>
    </row>
    <row r="104">
      <c r="A104" s="2" t="inlineStr">
        <is>
          <t>C104</t>
        </is>
      </c>
      <c r="B104" s="2" t="inlineStr">
        <is>
          <t>Growth Hack Sprint</t>
        </is>
      </c>
      <c r="C104" s="2" t="inlineStr">
        <is>
          <t>Product Launch</t>
        </is>
      </c>
      <c r="D104" s="2" t="inlineStr">
        <is>
          <t>LinkedIn</t>
        </is>
      </c>
      <c r="E104" s="2" t="inlineStr">
        <is>
          <t>2024-05-26</t>
        </is>
      </c>
      <c r="F104" s="2" t="inlineStr">
        <is>
          <t>2024-06-06</t>
        </is>
      </c>
      <c r="G104" s="2" t="inlineStr">
        <is>
          <t>North</t>
        </is>
      </c>
      <c r="H104" s="2" t="inlineStr">
        <is>
          <t>18-24</t>
        </is>
      </c>
      <c r="I104" s="3" t="n">
        <v>62248</v>
      </c>
      <c r="J104" s="3" t="n">
        <v>2166</v>
      </c>
      <c r="K104" s="4" t="n">
        <v>3.48</v>
      </c>
      <c r="L104" s="3" t="n">
        <v>313</v>
      </c>
      <c r="M104" s="3" t="n">
        <v>157</v>
      </c>
      <c r="N104" s="4" t="n">
        <v>7.25</v>
      </c>
      <c r="O104" s="5" t="n">
        <v>174471.63</v>
      </c>
      <c r="P104" s="5" t="n">
        <v>434921.24</v>
      </c>
      <c r="Q104" s="4" t="n">
        <v>149.28</v>
      </c>
      <c r="R104" s="5" t="n">
        <v>80.55</v>
      </c>
      <c r="S104" s="5" t="n">
        <v>2802.85</v>
      </c>
      <c r="T104" s="5" t="n">
        <v>1111.28</v>
      </c>
      <c r="U104" s="3" t="n">
        <v>11</v>
      </c>
      <c r="V104" s="5" t="n">
        <v>260449.61</v>
      </c>
      <c r="W104" s="2" t="inlineStr">
        <is>
          <t>2024-05</t>
        </is>
      </c>
    </row>
    <row r="105">
      <c r="A105" s="6" t="inlineStr">
        <is>
          <t>C105</t>
        </is>
      </c>
      <c r="B105" s="6" t="inlineStr">
        <is>
          <t>Retarget Lost Carts</t>
        </is>
      </c>
      <c r="C105" s="6" t="inlineStr">
        <is>
          <t>Brand Awareness</t>
        </is>
      </c>
      <c r="D105" s="6" t="inlineStr">
        <is>
          <t>YouTube</t>
        </is>
      </c>
      <c r="E105" s="6" t="inlineStr">
        <is>
          <t>2024-06-13</t>
        </is>
      </c>
      <c r="F105" s="6" t="inlineStr">
        <is>
          <t>2024-07-28</t>
        </is>
      </c>
      <c r="G105" s="6" t="inlineStr">
        <is>
          <t>West</t>
        </is>
      </c>
      <c r="H105" s="6" t="inlineStr">
        <is>
          <t>55+</t>
        </is>
      </c>
      <c r="I105" s="7" t="n">
        <v>698733</v>
      </c>
      <c r="J105" s="7" t="n">
        <v>11529</v>
      </c>
      <c r="K105" s="8" t="n">
        <v>1.65</v>
      </c>
      <c r="L105" s="7" t="n">
        <v>641</v>
      </c>
      <c r="M105" s="7" t="n">
        <v>359</v>
      </c>
      <c r="N105" s="8" t="n">
        <v>3.11</v>
      </c>
      <c r="O105" s="9" t="n">
        <v>178978.92</v>
      </c>
      <c r="P105" s="9" t="n">
        <v>233100.34</v>
      </c>
      <c r="Q105" s="8" t="n">
        <v>30.24</v>
      </c>
      <c r="R105" s="9" t="n">
        <v>15.52</v>
      </c>
      <c r="S105" s="9" t="n">
        <v>256.15</v>
      </c>
      <c r="T105" s="9" t="n">
        <v>498.55</v>
      </c>
      <c r="U105" s="7" t="n">
        <v>45</v>
      </c>
      <c r="V105" s="9" t="n">
        <v>54121.42</v>
      </c>
      <c r="W105" s="6" t="inlineStr">
        <is>
          <t>2024-06</t>
        </is>
      </c>
    </row>
    <row r="106">
      <c r="A106" s="2" t="inlineStr">
        <is>
          <t>C106</t>
        </is>
      </c>
      <c r="B106" s="2" t="inlineStr">
        <is>
          <t>Email Nurture Series</t>
        </is>
      </c>
      <c r="C106" s="2" t="inlineStr">
        <is>
          <t>Lead Generation</t>
        </is>
      </c>
      <c r="D106" s="2" t="inlineStr">
        <is>
          <t>YouTube</t>
        </is>
      </c>
      <c r="E106" s="2" t="inlineStr">
        <is>
          <t>2024-08-12</t>
        </is>
      </c>
      <c r="F106" s="2" t="inlineStr">
        <is>
          <t>2024-09-21</t>
        </is>
      </c>
      <c r="G106" s="2" t="inlineStr">
        <is>
          <t>North</t>
        </is>
      </c>
      <c r="H106" s="2" t="inlineStr">
        <is>
          <t>25-34</t>
        </is>
      </c>
      <c r="I106" s="3" t="n">
        <v>748141</v>
      </c>
      <c r="J106" s="3" t="n">
        <v>13316</v>
      </c>
      <c r="K106" s="4" t="n">
        <v>1.78</v>
      </c>
      <c r="L106" s="3" t="n">
        <v>612</v>
      </c>
      <c r="M106" s="3" t="n">
        <v>256</v>
      </c>
      <c r="N106" s="4" t="n">
        <v>1.92</v>
      </c>
      <c r="O106" s="5" t="n">
        <v>155662.39</v>
      </c>
      <c r="P106" s="5" t="n">
        <v>297639.12</v>
      </c>
      <c r="Q106" s="4" t="n">
        <v>91.20999999999999</v>
      </c>
      <c r="R106" s="5" t="n">
        <v>11.69</v>
      </c>
      <c r="S106" s="5" t="n">
        <v>208.07</v>
      </c>
      <c r="T106" s="5" t="n">
        <v>608.0599999999999</v>
      </c>
      <c r="U106" s="3" t="n">
        <v>40</v>
      </c>
      <c r="V106" s="5" t="n">
        <v>141976.73</v>
      </c>
      <c r="W106" s="2" t="inlineStr">
        <is>
          <t>2024-08</t>
        </is>
      </c>
    </row>
    <row r="107">
      <c r="A107" s="6" t="inlineStr">
        <is>
          <t>C107</t>
        </is>
      </c>
      <c r="B107" s="6" t="inlineStr">
        <is>
          <t>Awareness Wave</t>
        </is>
      </c>
      <c r="C107" s="6" t="inlineStr">
        <is>
          <t>Brand Awareness</t>
        </is>
      </c>
      <c r="D107" s="6" t="inlineStr">
        <is>
          <t>Email</t>
        </is>
      </c>
      <c r="E107" s="6" t="inlineStr">
        <is>
          <t>2024-02-18</t>
        </is>
      </c>
      <c r="F107" s="6" t="inlineStr">
        <is>
          <t>2024-03-31</t>
        </is>
      </c>
      <c r="G107" s="6" t="inlineStr">
        <is>
          <t>East</t>
        </is>
      </c>
      <c r="H107" s="6" t="inlineStr">
        <is>
          <t>18-24</t>
        </is>
      </c>
      <c r="I107" s="7" t="n">
        <v>35333</v>
      </c>
      <c r="J107" s="7" t="n">
        <v>5897</v>
      </c>
      <c r="K107" s="8" t="n">
        <v>16.69</v>
      </c>
      <c r="L107" s="7" t="n">
        <v>1601</v>
      </c>
      <c r="M107" s="7" t="n">
        <v>780</v>
      </c>
      <c r="N107" s="8" t="n">
        <v>13.23</v>
      </c>
      <c r="O107" s="9" t="n">
        <v>28444.32</v>
      </c>
      <c r="P107" s="9" t="n">
        <v>54046.17</v>
      </c>
      <c r="Q107" s="8" t="n">
        <v>90.01000000000001</v>
      </c>
      <c r="R107" s="9" t="n">
        <v>4.82</v>
      </c>
      <c r="S107" s="9" t="n">
        <v>805.04</v>
      </c>
      <c r="T107" s="9" t="n">
        <v>36.47</v>
      </c>
      <c r="U107" s="7" t="n">
        <v>42</v>
      </c>
      <c r="V107" s="9" t="n">
        <v>25601.85</v>
      </c>
      <c r="W107" s="6" t="inlineStr">
        <is>
          <t>2024-02</t>
        </is>
      </c>
    </row>
    <row r="108">
      <c r="A108" s="2" t="inlineStr">
        <is>
          <t>C108</t>
        </is>
      </c>
      <c r="B108" s="2" t="inlineStr">
        <is>
          <t>LinkedIn B2B Push</t>
        </is>
      </c>
      <c r="C108" s="2" t="inlineStr">
        <is>
          <t>Lead Generation</t>
        </is>
      </c>
      <c r="D108" s="2" t="inlineStr">
        <is>
          <t>Email</t>
        </is>
      </c>
      <c r="E108" s="2" t="inlineStr">
        <is>
          <t>2024-03-07</t>
        </is>
      </c>
      <c r="F108" s="2" t="inlineStr">
        <is>
          <t>2024-04-21</t>
        </is>
      </c>
      <c r="G108" s="2" t="inlineStr">
        <is>
          <t>East</t>
        </is>
      </c>
      <c r="H108" s="2" t="inlineStr">
        <is>
          <t>35-44</t>
        </is>
      </c>
      <c r="I108" s="3" t="n">
        <v>15552</v>
      </c>
      <c r="J108" s="3" t="n">
        <v>2653</v>
      </c>
      <c r="K108" s="4" t="n">
        <v>17.06</v>
      </c>
      <c r="L108" s="3" t="n">
        <v>577</v>
      </c>
      <c r="M108" s="3" t="n">
        <v>259</v>
      </c>
      <c r="N108" s="4" t="n">
        <v>9.76</v>
      </c>
      <c r="O108" s="5" t="n">
        <v>9812.139999999999</v>
      </c>
      <c r="P108" s="5" t="n">
        <v>30314.62</v>
      </c>
      <c r="Q108" s="4" t="n">
        <v>208.95</v>
      </c>
      <c r="R108" s="5" t="n">
        <v>3.7</v>
      </c>
      <c r="S108" s="5" t="n">
        <v>630.92</v>
      </c>
      <c r="T108" s="5" t="n">
        <v>37.88</v>
      </c>
      <c r="U108" s="3" t="n">
        <v>45</v>
      </c>
      <c r="V108" s="5" t="n">
        <v>20502.48</v>
      </c>
      <c r="W108" s="2" t="inlineStr">
        <is>
          <t>2024-03</t>
        </is>
      </c>
    </row>
    <row r="109">
      <c r="A109" s="6" t="inlineStr">
        <is>
          <t>C109</t>
        </is>
      </c>
      <c r="B109" s="6" t="inlineStr">
        <is>
          <t>App Install Drive</t>
        </is>
      </c>
      <c r="C109" s="6" t="inlineStr">
        <is>
          <t>Seasonal Sale</t>
        </is>
      </c>
      <c r="D109" s="6" t="inlineStr">
        <is>
          <t>YouTube</t>
        </is>
      </c>
      <c r="E109" s="6" t="inlineStr">
        <is>
          <t>2024-07-04</t>
        </is>
      </c>
      <c r="F109" s="6" t="inlineStr">
        <is>
          <t>2024-07-12</t>
        </is>
      </c>
      <c r="G109" s="6" t="inlineStr">
        <is>
          <t>North</t>
        </is>
      </c>
      <c r="H109" s="6" t="inlineStr">
        <is>
          <t>45-54</t>
        </is>
      </c>
      <c r="I109" s="7" t="n">
        <v>580211</v>
      </c>
      <c r="J109" s="7" t="n">
        <v>8238</v>
      </c>
      <c r="K109" s="8" t="n">
        <v>1.42</v>
      </c>
      <c r="L109" s="7" t="n">
        <v>419</v>
      </c>
      <c r="M109" s="7" t="n">
        <v>255</v>
      </c>
      <c r="N109" s="8" t="n">
        <v>3.1</v>
      </c>
      <c r="O109" s="9" t="n">
        <v>164376.72</v>
      </c>
      <c r="P109" s="9" t="n">
        <v>575309.3</v>
      </c>
      <c r="Q109" s="8" t="n">
        <v>249.99</v>
      </c>
      <c r="R109" s="9" t="n">
        <v>19.95</v>
      </c>
      <c r="S109" s="9" t="n">
        <v>283.31</v>
      </c>
      <c r="T109" s="9" t="n">
        <v>644.61</v>
      </c>
      <c r="U109" s="7" t="n">
        <v>8</v>
      </c>
      <c r="V109" s="9" t="n">
        <v>410932.58</v>
      </c>
      <c r="W109" s="6" t="inlineStr">
        <is>
          <t>2024-07</t>
        </is>
      </c>
    </row>
    <row r="110">
      <c r="A110" s="2" t="inlineStr">
        <is>
          <t>C110</t>
        </is>
      </c>
      <c r="B110" s="2" t="inlineStr">
        <is>
          <t>App Install Drive</t>
        </is>
      </c>
      <c r="C110" s="2" t="inlineStr">
        <is>
          <t>Brand Awareness</t>
        </is>
      </c>
      <c r="D110" s="2" t="inlineStr">
        <is>
          <t>Facebook</t>
        </is>
      </c>
      <c r="E110" s="2" t="inlineStr">
        <is>
          <t>2024-10-03</t>
        </is>
      </c>
      <c r="F110" s="2" t="inlineStr">
        <is>
          <t>2024-11-12</t>
        </is>
      </c>
      <c r="G110" s="2" t="inlineStr">
        <is>
          <t>East</t>
        </is>
      </c>
      <c r="H110" s="2" t="inlineStr">
        <is>
          <t>18-24</t>
        </is>
      </c>
      <c r="I110" s="3" t="n">
        <v>89895</v>
      </c>
      <c r="J110" s="3" t="n">
        <v>4422</v>
      </c>
      <c r="K110" s="4" t="n">
        <v>4.92</v>
      </c>
      <c r="L110" s="3" t="n">
        <v>390</v>
      </c>
      <c r="M110" s="3" t="n">
        <v>195</v>
      </c>
      <c r="N110" s="4" t="n">
        <v>4.41</v>
      </c>
      <c r="O110" s="5" t="n">
        <v>102942.39</v>
      </c>
      <c r="P110" s="5" t="n">
        <v>153321.71</v>
      </c>
      <c r="Q110" s="4" t="n">
        <v>48.94</v>
      </c>
      <c r="R110" s="5" t="n">
        <v>23.28</v>
      </c>
      <c r="S110" s="5" t="n">
        <v>1145.14</v>
      </c>
      <c r="T110" s="5" t="n">
        <v>527.91</v>
      </c>
      <c r="U110" s="3" t="n">
        <v>40</v>
      </c>
      <c r="V110" s="5" t="n">
        <v>50379.32</v>
      </c>
      <c r="W110" s="2" t="inlineStr">
        <is>
          <t>2024-10</t>
        </is>
      </c>
    </row>
    <row r="111">
      <c r="A111" s="6" t="inlineStr">
        <is>
          <t>C111</t>
        </is>
      </c>
      <c r="B111" s="6" t="inlineStr">
        <is>
          <t>Back to School Drive</t>
        </is>
      </c>
      <c r="C111" s="6" t="inlineStr">
        <is>
          <t>Seasonal Sale</t>
        </is>
      </c>
      <c r="D111" s="6" t="inlineStr">
        <is>
          <t>YouTube</t>
        </is>
      </c>
      <c r="E111" s="6" t="inlineStr">
        <is>
          <t>2024-07-29</t>
        </is>
      </c>
      <c r="F111" s="6" t="inlineStr">
        <is>
          <t>2024-08-28</t>
        </is>
      </c>
      <c r="G111" s="6" t="inlineStr">
        <is>
          <t>South</t>
        </is>
      </c>
      <c r="H111" s="6" t="inlineStr">
        <is>
          <t>45-54</t>
        </is>
      </c>
      <c r="I111" s="7" t="n">
        <v>449068</v>
      </c>
      <c r="J111" s="7" t="n">
        <v>9924</v>
      </c>
      <c r="K111" s="8" t="n">
        <v>2.21</v>
      </c>
      <c r="L111" s="7" t="n">
        <v>522</v>
      </c>
      <c r="M111" s="7" t="n">
        <v>240</v>
      </c>
      <c r="N111" s="8" t="n">
        <v>2.42</v>
      </c>
      <c r="O111" s="9" t="n">
        <v>158777.74</v>
      </c>
      <c r="P111" s="9" t="n">
        <v>265794.63</v>
      </c>
      <c r="Q111" s="8" t="n">
        <v>67.40000000000001</v>
      </c>
      <c r="R111" s="9" t="n">
        <v>16</v>
      </c>
      <c r="S111" s="9" t="n">
        <v>353.57</v>
      </c>
      <c r="T111" s="9" t="n">
        <v>661.5700000000001</v>
      </c>
      <c r="U111" s="7" t="n">
        <v>30</v>
      </c>
      <c r="V111" s="9" t="n">
        <v>107016.89</v>
      </c>
      <c r="W111" s="6" t="inlineStr">
        <is>
          <t>2024-07</t>
        </is>
      </c>
    </row>
    <row r="112">
      <c r="A112" s="2" t="inlineStr">
        <is>
          <t>C112</t>
        </is>
      </c>
      <c r="B112" s="2" t="inlineStr">
        <is>
          <t>Email Nurture Series</t>
        </is>
      </c>
      <c r="C112" s="2" t="inlineStr">
        <is>
          <t>Lead Generation</t>
        </is>
      </c>
      <c r="D112" s="2" t="inlineStr">
        <is>
          <t>LinkedIn</t>
        </is>
      </c>
      <c r="E112" s="2" t="inlineStr">
        <is>
          <t>2024-08-24</t>
        </is>
      </c>
      <c r="F112" s="2" t="inlineStr">
        <is>
          <t>2024-09-18</t>
        </is>
      </c>
      <c r="G112" s="2" t="inlineStr">
        <is>
          <t>East</t>
        </is>
      </c>
      <c r="H112" s="2" t="inlineStr">
        <is>
          <t>55+</t>
        </is>
      </c>
      <c r="I112" s="3" t="n">
        <v>70995</v>
      </c>
      <c r="J112" s="3" t="n">
        <v>1781</v>
      </c>
      <c r="K112" s="4" t="n">
        <v>2.51</v>
      </c>
      <c r="L112" s="3" t="n">
        <v>245</v>
      </c>
      <c r="M112" s="3" t="n">
        <v>100</v>
      </c>
      <c r="N112" s="4" t="n">
        <v>5.61</v>
      </c>
      <c r="O112" s="5" t="n">
        <v>114682.43</v>
      </c>
      <c r="P112" s="5" t="n">
        <v>164243.19</v>
      </c>
      <c r="Q112" s="4" t="n">
        <v>43.22</v>
      </c>
      <c r="R112" s="5" t="n">
        <v>64.39</v>
      </c>
      <c r="S112" s="5" t="n">
        <v>1615.36</v>
      </c>
      <c r="T112" s="5" t="n">
        <v>1146.82</v>
      </c>
      <c r="U112" s="3" t="n">
        <v>25</v>
      </c>
      <c r="V112" s="5" t="n">
        <v>49560.76</v>
      </c>
      <c r="W112" s="2" t="inlineStr">
        <is>
          <t>2024-08</t>
        </is>
      </c>
    </row>
    <row r="113">
      <c r="A113" s="6" t="inlineStr">
        <is>
          <t>C114</t>
        </is>
      </c>
      <c r="B113" s="6" t="inlineStr">
        <is>
          <t>YouTube Pre-Roll</t>
        </is>
      </c>
      <c r="C113" s="6" t="inlineStr">
        <is>
          <t>Product Launch</t>
        </is>
      </c>
      <c r="D113" s="6" t="inlineStr">
        <is>
          <t>Facebook</t>
        </is>
      </c>
      <c r="E113" s="6" t="inlineStr">
        <is>
          <t>2024-01-28</t>
        </is>
      </c>
      <c r="F113" s="6" t="inlineStr">
        <is>
          <t>2024-02-29</t>
        </is>
      </c>
      <c r="G113" s="6" t="inlineStr">
        <is>
          <t>East</t>
        </is>
      </c>
      <c r="H113" s="6" t="inlineStr">
        <is>
          <t>18-24</t>
        </is>
      </c>
      <c r="I113" s="7" t="n">
        <v>211598</v>
      </c>
      <c r="J113" s="7" t="n">
        <v>8463</v>
      </c>
      <c r="K113" s="8" t="n">
        <v>4</v>
      </c>
      <c r="L113" s="7" t="n">
        <v>326</v>
      </c>
      <c r="M113" s="7" t="n">
        <v>250</v>
      </c>
      <c r="N113" s="8" t="n">
        <v>2.95</v>
      </c>
      <c r="O113" s="9" t="n">
        <v>48214.07</v>
      </c>
      <c r="P113" s="9" t="n">
        <v>160744.85</v>
      </c>
      <c r="Q113" s="8" t="n">
        <v>233.4</v>
      </c>
      <c r="R113" s="9" t="n">
        <v>5.7</v>
      </c>
      <c r="S113" s="9" t="n">
        <v>227.86</v>
      </c>
      <c r="T113" s="9" t="n">
        <v>192.86</v>
      </c>
      <c r="U113" s="7" t="n">
        <v>32</v>
      </c>
      <c r="V113" s="9" t="n">
        <v>112530.78</v>
      </c>
      <c r="W113" s="6" t="inlineStr">
        <is>
          <t>2024-01</t>
        </is>
      </c>
    </row>
    <row r="114">
      <c r="A114" s="2" t="inlineStr">
        <is>
          <t>C115</t>
        </is>
      </c>
      <c r="B114" s="2" t="inlineStr">
        <is>
          <t>Back to School Drive</t>
        </is>
      </c>
      <c r="C114" s="2" t="inlineStr">
        <is>
          <t>Retargeting</t>
        </is>
      </c>
      <c r="D114" s="2" t="inlineStr">
        <is>
          <t>YouTube</t>
        </is>
      </c>
      <c r="E114" s="2" t="inlineStr">
        <is>
          <t>2024-05-26</t>
        </is>
      </c>
      <c r="F114" s="2" t="inlineStr">
        <is>
          <t>2024-07-02</t>
        </is>
      </c>
      <c r="G114" s="2" t="inlineStr">
        <is>
          <t>South</t>
        </is>
      </c>
      <c r="H114" s="2" t="inlineStr">
        <is>
          <t>25-34</t>
        </is>
      </c>
      <c r="I114" s="3" t="n">
        <v>345534</v>
      </c>
      <c r="J114" s="3" t="n">
        <v>6772</v>
      </c>
      <c r="K114" s="4" t="n">
        <v>1.96</v>
      </c>
      <c r="L114" s="3" t="n">
        <v>287</v>
      </c>
      <c r="M114" s="3" t="n">
        <v>144</v>
      </c>
      <c r="N114" s="4" t="n">
        <v>2.13</v>
      </c>
      <c r="O114" s="5" t="n">
        <v>65228.36</v>
      </c>
      <c r="P114" s="5" t="n">
        <v>105511.53</v>
      </c>
      <c r="Q114" s="4" t="n">
        <v>61.76</v>
      </c>
      <c r="R114" s="5" t="n">
        <v>9.630000000000001</v>
      </c>
      <c r="S114" s="5" t="n">
        <v>188.78</v>
      </c>
      <c r="T114" s="5" t="n">
        <v>452.97</v>
      </c>
      <c r="U114" s="3" t="n">
        <v>37</v>
      </c>
      <c r="V114" s="5" t="n">
        <v>40283.17</v>
      </c>
      <c r="W114" s="2" t="inlineStr">
        <is>
          <t>2024-05</t>
        </is>
      </c>
    </row>
    <row r="115">
      <c r="A115" s="6" t="inlineStr">
        <is>
          <t>C116</t>
        </is>
      </c>
      <c r="B115" s="6" t="inlineStr">
        <is>
          <t>YouTube Pre-Roll</t>
        </is>
      </c>
      <c r="C115" s="6" t="inlineStr">
        <is>
          <t>Seasonal Sale</t>
        </is>
      </c>
      <c r="D115" s="6" t="inlineStr">
        <is>
          <t>Facebook</t>
        </is>
      </c>
      <c r="E115" s="6" t="inlineStr">
        <is>
          <t>2024-02-26</t>
        </is>
      </c>
      <c r="F115" s="6" t="inlineStr">
        <is>
          <t>2024-03-22</t>
        </is>
      </c>
      <c r="G115" s="6" t="inlineStr">
        <is>
          <t>Central</t>
        </is>
      </c>
      <c r="H115" s="6" t="inlineStr">
        <is>
          <t>55+</t>
        </is>
      </c>
      <c r="I115" s="7" t="n">
        <v>142295</v>
      </c>
      <c r="J115" s="7" t="n">
        <v>5350</v>
      </c>
      <c r="K115" s="8" t="n">
        <v>3.76</v>
      </c>
      <c r="L115" s="7" t="n">
        <v>179</v>
      </c>
      <c r="M115" s="7" t="n">
        <v>103</v>
      </c>
      <c r="N115" s="8" t="n">
        <v>1.93</v>
      </c>
      <c r="O115" s="9" t="n">
        <v>109717.99</v>
      </c>
      <c r="P115" s="9" t="n">
        <v>149881.24</v>
      </c>
      <c r="Q115" s="8" t="n">
        <v>36.61</v>
      </c>
      <c r="R115" s="9" t="n">
        <v>20.51</v>
      </c>
      <c r="S115" s="9" t="n">
        <v>771.0599999999999</v>
      </c>
      <c r="T115" s="9" t="n">
        <v>1065.22</v>
      </c>
      <c r="U115" s="7" t="n">
        <v>25</v>
      </c>
      <c r="V115" s="9" t="n">
        <v>40163.25</v>
      </c>
      <c r="W115" s="6" t="inlineStr">
        <is>
          <t>2024-02</t>
        </is>
      </c>
    </row>
    <row r="116">
      <c r="A116" s="2" t="inlineStr">
        <is>
          <t>C117</t>
        </is>
      </c>
      <c r="B116" s="2" t="inlineStr">
        <is>
          <t>App Install Drive</t>
        </is>
      </c>
      <c r="C116" s="2" t="inlineStr">
        <is>
          <t>Seasonal Sale</t>
        </is>
      </c>
      <c r="D116" s="2" t="inlineStr">
        <is>
          <t>LinkedIn</t>
        </is>
      </c>
      <c r="E116" s="2" t="inlineStr">
        <is>
          <t>2024-10-21</t>
        </is>
      </c>
      <c r="F116" s="2" t="inlineStr">
        <is>
          <t>2024-11-12</t>
        </is>
      </c>
      <c r="G116" s="2" t="inlineStr">
        <is>
          <t>Central</t>
        </is>
      </c>
      <c r="H116" s="2" t="inlineStr">
        <is>
          <t>18-24</t>
        </is>
      </c>
      <c r="I116" s="3" t="n">
        <v>67090</v>
      </c>
      <c r="J116" s="3" t="n">
        <v>1368</v>
      </c>
      <c r="K116" s="4" t="n">
        <v>2.04</v>
      </c>
      <c r="L116" s="3" t="n">
        <v>139</v>
      </c>
      <c r="M116" s="3" t="n">
        <v>70</v>
      </c>
      <c r="N116" s="4" t="n">
        <v>5.12</v>
      </c>
      <c r="O116" s="5" t="n">
        <v>116257.75</v>
      </c>
      <c r="P116" s="5" t="n">
        <v>180147.59</v>
      </c>
      <c r="Q116" s="4" t="n">
        <v>54.96</v>
      </c>
      <c r="R116" s="5" t="n">
        <v>84.98</v>
      </c>
      <c r="S116" s="5" t="n">
        <v>1732.86</v>
      </c>
      <c r="T116" s="5" t="n">
        <v>1660.82</v>
      </c>
      <c r="U116" s="3" t="n">
        <v>22</v>
      </c>
      <c r="V116" s="5" t="n">
        <v>63889.84</v>
      </c>
      <c r="W116" s="2" t="inlineStr">
        <is>
          <t>2024-10</t>
        </is>
      </c>
    </row>
    <row r="117">
      <c r="A117" s="6" t="inlineStr">
        <is>
          <t>C118</t>
        </is>
      </c>
      <c r="B117" s="6" t="inlineStr">
        <is>
          <t>Festive Season Blitz</t>
        </is>
      </c>
      <c r="C117" s="6" t="inlineStr">
        <is>
          <t>Brand Awareness</t>
        </is>
      </c>
      <c r="D117" s="6" t="inlineStr">
        <is>
          <t>YouTube</t>
        </is>
      </c>
      <c r="E117" s="6" t="inlineStr">
        <is>
          <t>2024-09-26</t>
        </is>
      </c>
      <c r="F117" s="6" t="inlineStr">
        <is>
          <t>2024-11-06</t>
        </is>
      </c>
      <c r="G117" s="6" t="inlineStr">
        <is>
          <t>Central</t>
        </is>
      </c>
      <c r="H117" s="6" t="inlineStr">
        <is>
          <t>35-44</t>
        </is>
      </c>
      <c r="I117" s="7" t="n">
        <v>731971</v>
      </c>
      <c r="J117" s="7" t="n">
        <v>14566</v>
      </c>
      <c r="K117" s="8" t="n">
        <v>1.99</v>
      </c>
      <c r="L117" s="7" t="n">
        <v>396</v>
      </c>
      <c r="M117" s="7" t="n">
        <v>323</v>
      </c>
      <c r="N117" s="8" t="n">
        <v>2.22</v>
      </c>
      <c r="O117" s="9" t="n">
        <v>149785.35</v>
      </c>
      <c r="P117" s="9" t="n">
        <v>303841.85</v>
      </c>
      <c r="Q117" s="8" t="n">
        <v>102.85</v>
      </c>
      <c r="R117" s="9" t="n">
        <v>10.28</v>
      </c>
      <c r="S117" s="9" t="n">
        <v>204.63</v>
      </c>
      <c r="T117" s="9" t="n">
        <v>463.73</v>
      </c>
      <c r="U117" s="7" t="n">
        <v>41</v>
      </c>
      <c r="V117" s="9" t="n">
        <v>154056.5</v>
      </c>
      <c r="W117" s="6" t="inlineStr">
        <is>
          <t>2024-09</t>
        </is>
      </c>
    </row>
    <row r="118">
      <c r="A118" s="2" t="inlineStr">
        <is>
          <t>C119</t>
        </is>
      </c>
      <c r="B118" s="2" t="inlineStr">
        <is>
          <t>Festive Season Blitz</t>
        </is>
      </c>
      <c r="C118" s="2" t="inlineStr">
        <is>
          <t>Retargeting</t>
        </is>
      </c>
      <c r="D118" s="2" t="inlineStr">
        <is>
          <t>Instagram</t>
        </is>
      </c>
      <c r="E118" s="2" t="inlineStr">
        <is>
          <t>2024-06-25</t>
        </is>
      </c>
      <c r="F118" s="2" t="inlineStr">
        <is>
          <t>2024-07-17</t>
        </is>
      </c>
      <c r="G118" s="2" t="inlineStr">
        <is>
          <t>North</t>
        </is>
      </c>
      <c r="H118" s="2" t="inlineStr">
        <is>
          <t>35-44</t>
        </is>
      </c>
      <c r="I118" s="3" t="n">
        <v>154349</v>
      </c>
      <c r="J118" s="3" t="n">
        <v>6096</v>
      </c>
      <c r="K118" s="4" t="n">
        <v>3.95</v>
      </c>
      <c r="L118" s="3" t="n">
        <v>331</v>
      </c>
      <c r="M118" s="3" t="n">
        <v>203</v>
      </c>
      <c r="N118" s="4" t="n">
        <v>3.33</v>
      </c>
      <c r="O118" s="5" t="n">
        <v>28990.67</v>
      </c>
      <c r="P118" s="5" t="n">
        <v>55445.05</v>
      </c>
      <c r="Q118" s="4" t="n">
        <v>91.25</v>
      </c>
      <c r="R118" s="5" t="n">
        <v>4.76</v>
      </c>
      <c r="S118" s="5" t="n">
        <v>187.83</v>
      </c>
      <c r="T118" s="5" t="n">
        <v>142.81</v>
      </c>
      <c r="U118" s="3" t="n">
        <v>22</v>
      </c>
      <c r="V118" s="5" t="n">
        <v>26454.38</v>
      </c>
      <c r="W118" s="2" t="inlineStr">
        <is>
          <t>2024-06</t>
        </is>
      </c>
    </row>
    <row r="119">
      <c r="A119" s="6" t="inlineStr">
        <is>
          <t>C120</t>
        </is>
      </c>
      <c r="B119" s="6" t="inlineStr">
        <is>
          <t>Lead Gen Q1</t>
        </is>
      </c>
      <c r="C119" s="6" t="inlineStr">
        <is>
          <t>Lead Generation</t>
        </is>
      </c>
      <c r="D119" s="6" t="inlineStr">
        <is>
          <t>YouTube</t>
        </is>
      </c>
      <c r="E119" s="6" t="inlineStr">
        <is>
          <t>2024-03-10</t>
        </is>
      </c>
      <c r="F119" s="6" t="inlineStr">
        <is>
          <t>2024-03-21</t>
        </is>
      </c>
      <c r="G119" s="6" t="inlineStr">
        <is>
          <t>West</t>
        </is>
      </c>
      <c r="H119" s="6" t="inlineStr">
        <is>
          <t>45-54</t>
        </is>
      </c>
      <c r="I119" s="7" t="n">
        <v>679911</v>
      </c>
      <c r="J119" s="7" t="n">
        <v>7411</v>
      </c>
      <c r="K119" s="8" t="n">
        <v>1.09</v>
      </c>
      <c r="L119" s="7" t="n">
        <v>262</v>
      </c>
      <c r="M119" s="7" t="n">
        <v>118</v>
      </c>
      <c r="N119" s="8" t="n">
        <v>1.59</v>
      </c>
      <c r="O119" s="9" t="n">
        <v>65749.03</v>
      </c>
      <c r="P119" s="9" t="n">
        <v>121253.19</v>
      </c>
      <c r="Q119" s="8" t="n">
        <v>84.42</v>
      </c>
      <c r="R119" s="9" t="n">
        <v>8.869999999999999</v>
      </c>
      <c r="S119" s="9" t="n">
        <v>96.7</v>
      </c>
      <c r="T119" s="9" t="n">
        <v>557.2</v>
      </c>
      <c r="U119" s="7" t="n">
        <v>11</v>
      </c>
      <c r="V119" s="9" t="n">
        <v>55504.16</v>
      </c>
      <c r="W119" s="6" t="inlineStr">
        <is>
          <t>2024-03</t>
        </is>
      </c>
    </row>
    <row r="120">
      <c r="A120" s="2" t="inlineStr">
        <is>
          <t>C121</t>
        </is>
      </c>
      <c r="B120" s="2" t="inlineStr">
        <is>
          <t>Back to School Drive</t>
        </is>
      </c>
      <c r="C120" s="2" t="inlineStr">
        <is>
          <t>Seasonal Sale</t>
        </is>
      </c>
      <c r="D120" s="2" t="inlineStr">
        <is>
          <t>LinkedIn</t>
        </is>
      </c>
      <c r="E120" s="2" t="inlineStr">
        <is>
          <t>2024-04-07</t>
        </is>
      </c>
      <c r="F120" s="2" t="inlineStr">
        <is>
          <t>2024-05-02</t>
        </is>
      </c>
      <c r="G120" s="2" t="inlineStr">
        <is>
          <t>West</t>
        </is>
      </c>
      <c r="H120" s="2" t="inlineStr">
        <is>
          <t>35-44</t>
        </is>
      </c>
      <c r="I120" s="3" t="n">
        <v>43394</v>
      </c>
      <c r="J120" s="3" t="n">
        <v>1505</v>
      </c>
      <c r="K120" s="4" t="n">
        <v>3.47</v>
      </c>
      <c r="L120" s="3" t="n">
        <v>98</v>
      </c>
      <c r="M120" s="3" t="n">
        <v>48</v>
      </c>
      <c r="N120" s="4" t="n">
        <v>3.19</v>
      </c>
      <c r="O120" s="5" t="n">
        <v>103353.16</v>
      </c>
      <c r="P120" s="5" t="n">
        <v>204974.74</v>
      </c>
      <c r="Q120" s="4" t="n">
        <v>98.31999999999999</v>
      </c>
      <c r="R120" s="5" t="n">
        <v>68.67</v>
      </c>
      <c r="S120" s="5" t="n">
        <v>2381.74</v>
      </c>
      <c r="T120" s="5" t="n">
        <v>2153.19</v>
      </c>
      <c r="U120" s="3" t="n">
        <v>25</v>
      </c>
      <c r="V120" s="5" t="n">
        <v>101621.58</v>
      </c>
      <c r="W120" s="2" t="inlineStr">
        <is>
          <t>2024-04</t>
        </is>
      </c>
    </row>
    <row r="121">
      <c r="A121" s="6" t="inlineStr">
        <is>
          <t>C122</t>
        </is>
      </c>
      <c r="B121" s="6" t="inlineStr">
        <is>
          <t>Lead Gen Q1</t>
        </is>
      </c>
      <c r="C121" s="6" t="inlineStr">
        <is>
          <t>Product Launch</t>
        </is>
      </c>
      <c r="D121" s="6" t="inlineStr">
        <is>
          <t>LinkedIn</t>
        </is>
      </c>
      <c r="E121" s="6" t="inlineStr">
        <is>
          <t>2024-09-11</t>
        </is>
      </c>
      <c r="F121" s="6" t="inlineStr">
        <is>
          <t>2024-10-19</t>
        </is>
      </c>
      <c r="G121" s="6" t="inlineStr">
        <is>
          <t>West</t>
        </is>
      </c>
      <c r="H121" s="6" t="inlineStr">
        <is>
          <t>35-44</t>
        </is>
      </c>
      <c r="I121" s="7" t="n">
        <v>44074</v>
      </c>
      <c r="J121" s="7" t="n">
        <v>1586</v>
      </c>
      <c r="K121" s="8" t="n">
        <v>3.6</v>
      </c>
      <c r="L121" s="7" t="n">
        <v>427.5</v>
      </c>
      <c r="M121" s="7" t="n">
        <v>88</v>
      </c>
      <c r="N121" s="8" t="n">
        <v>5.55</v>
      </c>
      <c r="O121" s="9" t="n">
        <v>134115.74</v>
      </c>
      <c r="P121" s="9" t="n">
        <v>341443.64</v>
      </c>
      <c r="Q121" s="8" t="n">
        <v>154.59</v>
      </c>
      <c r="R121" s="9" t="n">
        <v>84.56</v>
      </c>
      <c r="S121" s="9" t="n">
        <v>3042.97</v>
      </c>
      <c r="T121" s="9" t="n">
        <v>1524.04</v>
      </c>
      <c r="U121" s="7" t="n">
        <v>38</v>
      </c>
      <c r="V121" s="9" t="n">
        <v>207327.9</v>
      </c>
      <c r="W121" s="6" t="inlineStr">
        <is>
          <t>2024-09</t>
        </is>
      </c>
    </row>
    <row r="122">
      <c r="A122" s="2" t="inlineStr">
        <is>
          <t>C123</t>
        </is>
      </c>
      <c r="B122" s="2" t="inlineStr">
        <is>
          <t>New Year Kickoff</t>
        </is>
      </c>
      <c r="C122" s="2" t="inlineStr">
        <is>
          <t>Seasonal Sale</t>
        </is>
      </c>
      <c r="D122" s="2" t="inlineStr">
        <is>
          <t>Facebook</t>
        </is>
      </c>
      <c r="E122" s="2" t="inlineStr">
        <is>
          <t>2024-02-10</t>
        </is>
      </c>
      <c r="F122" s="2" t="inlineStr">
        <is>
          <t>2024-03-08</t>
        </is>
      </c>
      <c r="G122" s="2" t="inlineStr">
        <is>
          <t>East</t>
        </is>
      </c>
      <c r="H122" s="2" t="inlineStr">
        <is>
          <t>35-44</t>
        </is>
      </c>
      <c r="I122" s="3" t="n">
        <v>253256</v>
      </c>
      <c r="J122" s="3" t="n">
        <v>9497</v>
      </c>
      <c r="K122" s="4" t="n">
        <v>3.75</v>
      </c>
      <c r="L122" s="3" t="n">
        <v>635</v>
      </c>
      <c r="M122" s="3" t="n">
        <v>298</v>
      </c>
      <c r="N122" s="4" t="n">
        <v>3.14</v>
      </c>
      <c r="O122" s="5" t="n">
        <v>55777.11</v>
      </c>
      <c r="P122" s="5" t="n">
        <v>108414.68</v>
      </c>
      <c r="Q122" s="4" t="n">
        <v>94.37</v>
      </c>
      <c r="R122" s="5" t="n">
        <v>5.87</v>
      </c>
      <c r="S122" s="5" t="n">
        <v>220.24</v>
      </c>
      <c r="T122" s="5" t="n">
        <v>187.17</v>
      </c>
      <c r="U122" s="3" t="n">
        <v>27</v>
      </c>
      <c r="V122" s="5" t="n">
        <v>52637.57</v>
      </c>
      <c r="W122" s="2" t="inlineStr">
        <is>
          <t>2024-02</t>
        </is>
      </c>
    </row>
    <row r="123">
      <c r="A123" s="6" t="inlineStr">
        <is>
          <t>C124</t>
        </is>
      </c>
      <c r="B123" s="6" t="inlineStr">
        <is>
          <t>Product Demo Push</t>
        </is>
      </c>
      <c r="C123" s="6" t="inlineStr">
        <is>
          <t>Retargeting</t>
        </is>
      </c>
      <c r="D123" s="6" t="inlineStr">
        <is>
          <t>Google Ads</t>
        </is>
      </c>
      <c r="E123" s="6" t="inlineStr">
        <is>
          <t>2024-01-30</t>
        </is>
      </c>
      <c r="F123" s="6" t="inlineStr">
        <is>
          <t>2024-02-10</t>
        </is>
      </c>
      <c r="G123" s="6" t="inlineStr">
        <is>
          <t>Central</t>
        </is>
      </c>
      <c r="H123" s="6" t="inlineStr">
        <is>
          <t>45-54</t>
        </is>
      </c>
      <c r="I123" s="7" t="n">
        <v>156485</v>
      </c>
      <c r="J123" s="7" t="n">
        <v>9295</v>
      </c>
      <c r="K123" s="8" t="n">
        <v>5.94</v>
      </c>
      <c r="L123" s="7" t="n">
        <v>1083</v>
      </c>
      <c r="M123" s="7" t="n">
        <v>520</v>
      </c>
      <c r="N123" s="8" t="n">
        <v>5.59</v>
      </c>
      <c r="O123" s="9" t="n">
        <v>37782.34</v>
      </c>
      <c r="P123" s="9" t="n">
        <v>96653.84</v>
      </c>
      <c r="Q123" s="8" t="n">
        <v>155.82</v>
      </c>
      <c r="R123" s="9" t="n">
        <v>4.06</v>
      </c>
      <c r="S123" s="9" t="n">
        <v>241.44</v>
      </c>
      <c r="T123" s="9" t="n">
        <v>72.66</v>
      </c>
      <c r="U123" s="7" t="n">
        <v>11</v>
      </c>
      <c r="V123" s="9" t="n">
        <v>58871.5</v>
      </c>
      <c r="W123" s="6" t="inlineStr">
        <is>
          <t>2024-01</t>
        </is>
      </c>
    </row>
    <row r="124">
      <c r="A124" s="2" t="inlineStr">
        <is>
          <t>C125</t>
        </is>
      </c>
      <c r="B124" s="2" t="inlineStr">
        <is>
          <t>Flash Sale Weekend</t>
        </is>
      </c>
      <c r="C124" s="2" t="inlineStr">
        <is>
          <t>Brand Awareness</t>
        </is>
      </c>
      <c r="D124" s="2" t="inlineStr">
        <is>
          <t>LinkedIn</t>
        </is>
      </c>
      <c r="E124" s="2" t="inlineStr">
        <is>
          <t>2024-07-06</t>
        </is>
      </c>
      <c r="F124" s="2" t="inlineStr">
        <is>
          <t>2024-08-05</t>
        </is>
      </c>
      <c r="G124" s="2" t="inlineStr">
        <is>
          <t>South</t>
        </is>
      </c>
      <c r="H124" s="2" t="inlineStr">
        <is>
          <t>18-24</t>
        </is>
      </c>
      <c r="I124" s="3" t="n">
        <v>45090</v>
      </c>
      <c r="J124" s="3" t="n">
        <v>1645</v>
      </c>
      <c r="K124" s="4" t="n">
        <v>3.65</v>
      </c>
      <c r="L124" s="3" t="n">
        <v>427.5</v>
      </c>
      <c r="M124" s="3" t="n">
        <v>51</v>
      </c>
      <c r="N124" s="4" t="n">
        <v>3.1</v>
      </c>
      <c r="O124" s="5" t="n">
        <v>198094.89</v>
      </c>
      <c r="P124" s="5" t="n">
        <v>394769.86</v>
      </c>
      <c r="Q124" s="4" t="n">
        <v>99.28</v>
      </c>
      <c r="R124" s="5" t="n">
        <v>120.42</v>
      </c>
      <c r="S124" s="5" t="n">
        <v>4393.32</v>
      </c>
      <c r="T124" s="5" t="n">
        <v>3884.21</v>
      </c>
      <c r="U124" s="3" t="n">
        <v>30</v>
      </c>
      <c r="V124" s="5" t="n">
        <v>196674.97</v>
      </c>
      <c r="W124" s="2" t="inlineStr">
        <is>
          <t>2024-07</t>
        </is>
      </c>
    </row>
    <row r="125">
      <c r="A125" s="6" t="inlineStr">
        <is>
          <t>C126</t>
        </is>
      </c>
      <c r="B125" s="6" t="inlineStr">
        <is>
          <t>Growth Hack Sprint</t>
        </is>
      </c>
      <c r="C125" s="6" t="inlineStr">
        <is>
          <t>Seasonal Sale</t>
        </is>
      </c>
      <c r="D125" s="6" t="inlineStr">
        <is>
          <t>Google Ads</t>
        </is>
      </c>
      <c r="E125" s="6" t="inlineStr">
        <is>
          <t>2024-07-22</t>
        </is>
      </c>
      <c r="F125" s="6" t="inlineStr">
        <is>
          <t>2024-08-18</t>
        </is>
      </c>
      <c r="G125" s="6" t="inlineStr">
        <is>
          <t>South</t>
        </is>
      </c>
      <c r="H125" s="6" t="inlineStr">
        <is>
          <t>55+</t>
        </is>
      </c>
      <c r="I125" s="7" t="n">
        <v>123056</v>
      </c>
      <c r="J125" s="7" t="n">
        <v>6645</v>
      </c>
      <c r="K125" s="8" t="n">
        <v>5.4</v>
      </c>
      <c r="L125" s="7" t="n">
        <v>407</v>
      </c>
      <c r="M125" s="7" t="n">
        <v>189</v>
      </c>
      <c r="N125" s="8" t="n">
        <v>2.84</v>
      </c>
      <c r="O125" s="9" t="n">
        <v>106158.21</v>
      </c>
      <c r="P125" s="9" t="n">
        <v>349526.12</v>
      </c>
      <c r="Q125" s="8" t="n">
        <v>229.25</v>
      </c>
      <c r="R125" s="9" t="n">
        <v>15.98</v>
      </c>
      <c r="S125" s="9" t="n">
        <v>862.6799999999999</v>
      </c>
      <c r="T125" s="9" t="n">
        <v>561.6799999999999</v>
      </c>
      <c r="U125" s="7" t="n">
        <v>27</v>
      </c>
      <c r="V125" s="9" t="n">
        <v>243367.91</v>
      </c>
      <c r="W125" s="6" t="inlineStr">
        <is>
          <t>2024-07</t>
        </is>
      </c>
    </row>
    <row r="126">
      <c r="A126" s="2" t="inlineStr">
        <is>
          <t>C127</t>
        </is>
      </c>
      <c r="B126" s="2" t="inlineStr">
        <is>
          <t>Retarget Lost Carts</t>
        </is>
      </c>
      <c r="C126" s="2" t="inlineStr">
        <is>
          <t>Retargeting</t>
        </is>
      </c>
      <c r="D126" s="2" t="inlineStr">
        <is>
          <t>Google Ads</t>
        </is>
      </c>
      <c r="E126" s="2" t="inlineStr">
        <is>
          <t>2024-05-26</t>
        </is>
      </c>
      <c r="F126" s="2" t="inlineStr">
        <is>
          <t>2024-07-03</t>
        </is>
      </c>
      <c r="G126" s="2" t="inlineStr">
        <is>
          <t>East</t>
        </is>
      </c>
      <c r="H126" s="2" t="inlineStr">
        <is>
          <t>45-54</t>
        </is>
      </c>
      <c r="I126" s="3" t="n">
        <v>102475</v>
      </c>
      <c r="J126" s="3" t="n">
        <v>4908</v>
      </c>
      <c r="K126" s="4" t="n">
        <v>4.79</v>
      </c>
      <c r="L126" s="3" t="n">
        <v>509</v>
      </c>
      <c r="M126" s="3" t="n">
        <v>285</v>
      </c>
      <c r="N126" s="4" t="n">
        <v>5.81</v>
      </c>
      <c r="O126" s="5" t="n">
        <v>130570.89</v>
      </c>
      <c r="P126" s="5" t="n">
        <v>171138.98</v>
      </c>
      <c r="Q126" s="4" t="n">
        <v>31.07</v>
      </c>
      <c r="R126" s="5" t="n">
        <v>26.6</v>
      </c>
      <c r="S126" s="5" t="n">
        <v>1274.17</v>
      </c>
      <c r="T126" s="5" t="n">
        <v>458.14</v>
      </c>
      <c r="U126" s="3" t="n">
        <v>38</v>
      </c>
      <c r="V126" s="5" t="n">
        <v>40568.09</v>
      </c>
      <c r="W126" s="2" t="inlineStr">
        <is>
          <t>2024-05</t>
        </is>
      </c>
    </row>
    <row r="127">
      <c r="A127" s="6" t="inlineStr">
        <is>
          <t>C128</t>
        </is>
      </c>
      <c r="B127" s="6" t="inlineStr">
        <is>
          <t>Cross-Sell Upsell</t>
        </is>
      </c>
      <c r="C127" s="6" t="inlineStr">
        <is>
          <t>Retargeting</t>
        </is>
      </c>
      <c r="D127" s="6" t="inlineStr">
        <is>
          <t>YouTube</t>
        </is>
      </c>
      <c r="E127" s="6" t="inlineStr">
        <is>
          <t>2024-10-04</t>
        </is>
      </c>
      <c r="F127" s="6" t="inlineStr">
        <is>
          <t>2024-10-29</t>
        </is>
      </c>
      <c r="G127" s="6" t="inlineStr">
        <is>
          <t>East</t>
        </is>
      </c>
      <c r="H127" s="6" t="inlineStr">
        <is>
          <t>18-24</t>
        </is>
      </c>
      <c r="I127" s="7" t="n">
        <v>514527</v>
      </c>
      <c r="J127" s="7" t="n">
        <v>10650</v>
      </c>
      <c r="K127" s="8" t="n">
        <v>2.07</v>
      </c>
      <c r="L127" s="7" t="n">
        <v>671</v>
      </c>
      <c r="M127" s="7" t="n">
        <v>279</v>
      </c>
      <c r="N127" s="8" t="n">
        <v>2.62</v>
      </c>
      <c r="O127" s="9" t="n">
        <v>197554.43</v>
      </c>
      <c r="P127" s="9" t="n">
        <v>388704.39</v>
      </c>
      <c r="Q127" s="8" t="n">
        <v>96.76000000000001</v>
      </c>
      <c r="R127" s="9" t="n">
        <v>18.55</v>
      </c>
      <c r="S127" s="9" t="n">
        <v>383.95</v>
      </c>
      <c r="T127" s="9" t="n">
        <v>708.08</v>
      </c>
      <c r="U127" s="7" t="n">
        <v>25</v>
      </c>
      <c r="V127" s="9" t="n">
        <v>191149.96</v>
      </c>
      <c r="W127" s="6" t="inlineStr">
        <is>
          <t>2024-10</t>
        </is>
      </c>
    </row>
    <row r="128">
      <c r="A128" s="2" t="inlineStr">
        <is>
          <t>C129</t>
        </is>
      </c>
      <c r="B128" s="2" t="inlineStr">
        <is>
          <t>Flash Sale Weekend</t>
        </is>
      </c>
      <c r="C128" s="2" t="inlineStr">
        <is>
          <t>Brand Awareness</t>
        </is>
      </c>
      <c r="D128" s="2" t="inlineStr">
        <is>
          <t>Facebook</t>
        </is>
      </c>
      <c r="E128" s="2" t="inlineStr">
        <is>
          <t>2024-09-09</t>
        </is>
      </c>
      <c r="F128" s="2" t="inlineStr">
        <is>
          <t>2024-09-17</t>
        </is>
      </c>
      <c r="G128" s="2" t="inlineStr">
        <is>
          <t>South</t>
        </is>
      </c>
      <c r="H128" s="2" t="inlineStr">
        <is>
          <t>25-34</t>
        </is>
      </c>
      <c r="I128" s="3" t="n">
        <v>174606</v>
      </c>
      <c r="J128" s="3" t="n">
        <v>7979</v>
      </c>
      <c r="K128" s="4" t="n">
        <v>4.57</v>
      </c>
      <c r="L128" s="3" t="n">
        <v>520</v>
      </c>
      <c r="M128" s="3" t="n">
        <v>232</v>
      </c>
      <c r="N128" s="4" t="n">
        <v>2.91</v>
      </c>
      <c r="O128" s="5" t="n">
        <v>87154.5</v>
      </c>
      <c r="P128" s="5" t="n">
        <v>280828.49</v>
      </c>
      <c r="Q128" s="4" t="n">
        <v>222.22</v>
      </c>
      <c r="R128" s="5" t="n">
        <v>10.92</v>
      </c>
      <c r="S128" s="5" t="n">
        <v>499.15</v>
      </c>
      <c r="T128" s="5" t="n">
        <v>375.67</v>
      </c>
      <c r="U128" s="3" t="n">
        <v>8</v>
      </c>
      <c r="V128" s="5" t="n">
        <v>193673.99</v>
      </c>
      <c r="W128" s="2" t="inlineStr">
        <is>
          <t>2024-09</t>
        </is>
      </c>
    </row>
    <row r="129">
      <c r="A129" s="6" t="inlineStr">
        <is>
          <t>C130</t>
        </is>
      </c>
      <c r="B129" s="6" t="inlineStr">
        <is>
          <t>App Install Drive</t>
        </is>
      </c>
      <c r="C129" s="6" t="inlineStr">
        <is>
          <t>Retargeting</t>
        </is>
      </c>
      <c r="D129" s="6" t="inlineStr">
        <is>
          <t>Google Ads</t>
        </is>
      </c>
      <c r="E129" s="6" t="inlineStr">
        <is>
          <t>2024-07-29</t>
        </is>
      </c>
      <c r="F129" s="6" t="inlineStr">
        <is>
          <t>2024-08-31</t>
        </is>
      </c>
      <c r="G129" s="6" t="inlineStr">
        <is>
          <t>West</t>
        </is>
      </c>
      <c r="H129" s="6" t="inlineStr">
        <is>
          <t>45-54</t>
        </is>
      </c>
      <c r="I129" s="7" t="n">
        <v>69333</v>
      </c>
      <c r="J129" s="7" t="n">
        <v>3327</v>
      </c>
      <c r="K129" s="8" t="n">
        <v>4.8</v>
      </c>
      <c r="L129" s="7" t="n">
        <v>158</v>
      </c>
      <c r="M129" s="7" t="n">
        <v>122</v>
      </c>
      <c r="N129" s="8" t="n">
        <v>3.67</v>
      </c>
      <c r="O129" s="9" t="n">
        <v>108337.51</v>
      </c>
      <c r="P129" s="9" t="n">
        <v>208748.56</v>
      </c>
      <c r="Q129" s="8" t="n">
        <v>92.68000000000001</v>
      </c>
      <c r="R129" s="9" t="n">
        <v>32.56</v>
      </c>
      <c r="S129" s="9" t="n">
        <v>1562.57</v>
      </c>
      <c r="T129" s="9" t="n">
        <v>888.01</v>
      </c>
      <c r="U129" s="7" t="n">
        <v>33</v>
      </c>
      <c r="V129" s="9" t="n">
        <v>100411.05</v>
      </c>
      <c r="W129" s="6" t="inlineStr">
        <is>
          <t>2024-07</t>
        </is>
      </c>
    </row>
    <row r="130">
      <c r="A130" s="2" t="inlineStr">
        <is>
          <t>C131</t>
        </is>
      </c>
      <c r="B130" s="2" t="inlineStr">
        <is>
          <t>YouTube Pre-Roll</t>
        </is>
      </c>
      <c r="C130" s="2" t="inlineStr">
        <is>
          <t>Seasonal Sale</t>
        </is>
      </c>
      <c r="D130" s="2" t="inlineStr">
        <is>
          <t>Email</t>
        </is>
      </c>
      <c r="E130" s="2" t="inlineStr">
        <is>
          <t>2024-09-14</t>
        </is>
      </c>
      <c r="F130" s="2" t="inlineStr">
        <is>
          <t>2024-09-24</t>
        </is>
      </c>
      <c r="G130" s="2" t="inlineStr">
        <is>
          <t>South</t>
        </is>
      </c>
      <c r="H130" s="2" t="inlineStr">
        <is>
          <t>25-34</t>
        </is>
      </c>
      <c r="I130" s="3" t="n">
        <v>18137</v>
      </c>
      <c r="J130" s="3" t="n">
        <v>3638</v>
      </c>
      <c r="K130" s="4" t="n">
        <v>20.06</v>
      </c>
      <c r="L130" s="3" t="n">
        <v>462</v>
      </c>
      <c r="M130" s="3" t="n">
        <v>328</v>
      </c>
      <c r="N130" s="4" t="n">
        <v>9.02</v>
      </c>
      <c r="O130" s="5" t="n">
        <v>25141.58</v>
      </c>
      <c r="P130" s="5" t="n">
        <v>84826.67</v>
      </c>
      <c r="Q130" s="4" t="n">
        <v>237.4</v>
      </c>
      <c r="R130" s="5" t="n">
        <v>6.91</v>
      </c>
      <c r="S130" s="5" t="n">
        <v>1386.2</v>
      </c>
      <c r="T130" s="5" t="n">
        <v>76.65000000000001</v>
      </c>
      <c r="U130" s="3" t="n">
        <v>10</v>
      </c>
      <c r="V130" s="5" t="n">
        <v>59685.09</v>
      </c>
      <c r="W130" s="2" t="inlineStr">
        <is>
          <t>2024-09</t>
        </is>
      </c>
    </row>
    <row r="131">
      <c r="A131" s="6" t="inlineStr">
        <is>
          <t>C132</t>
        </is>
      </c>
      <c r="B131" s="6" t="inlineStr">
        <is>
          <t>Retarget Lost Carts</t>
        </is>
      </c>
      <c r="C131" s="6" t="inlineStr">
        <is>
          <t>Retargeting</t>
        </is>
      </c>
      <c r="D131" s="6" t="inlineStr">
        <is>
          <t>Email</t>
        </is>
      </c>
      <c r="E131" s="6" t="inlineStr">
        <is>
          <t>2024-10-09</t>
        </is>
      </c>
      <c r="F131" s="6" t="inlineStr">
        <is>
          <t>2024-11-02</t>
        </is>
      </c>
      <c r="G131" s="6" t="inlineStr">
        <is>
          <t>North</t>
        </is>
      </c>
      <c r="H131" s="6" t="inlineStr">
        <is>
          <t>35-44</t>
        </is>
      </c>
      <c r="I131" s="7" t="n">
        <v>18203</v>
      </c>
      <c r="J131" s="7" t="n">
        <v>3931</v>
      </c>
      <c r="K131" s="8" t="n">
        <v>21.6</v>
      </c>
      <c r="L131" s="7" t="n">
        <v>630</v>
      </c>
      <c r="M131" s="7" t="n">
        <v>477</v>
      </c>
      <c r="N131" s="8" t="n">
        <v>12.13</v>
      </c>
      <c r="O131" s="9" t="n">
        <v>22556.42</v>
      </c>
      <c r="P131" s="9" t="n">
        <v>75786.34</v>
      </c>
      <c r="Q131" s="8" t="n">
        <v>235.99</v>
      </c>
      <c r="R131" s="9" t="n">
        <v>5.74</v>
      </c>
      <c r="S131" s="9" t="n">
        <v>1239.16</v>
      </c>
      <c r="T131" s="9" t="n">
        <v>47.29</v>
      </c>
      <c r="U131" s="7" t="n">
        <v>24</v>
      </c>
      <c r="V131" s="9" t="n">
        <v>53229.92</v>
      </c>
      <c r="W131" s="6" t="inlineStr">
        <is>
          <t>2024-10</t>
        </is>
      </c>
    </row>
    <row r="132">
      <c r="A132" s="2" t="inlineStr">
        <is>
          <t>C133</t>
        </is>
      </c>
      <c r="B132" s="2" t="inlineStr">
        <is>
          <t>Awareness Wave</t>
        </is>
      </c>
      <c r="C132" s="2" t="inlineStr">
        <is>
          <t>Lead Generation</t>
        </is>
      </c>
      <c r="D132" s="2" t="inlineStr">
        <is>
          <t>Facebook</t>
        </is>
      </c>
      <c r="E132" s="2" t="inlineStr">
        <is>
          <t>2024-10-15</t>
        </is>
      </c>
      <c r="F132" s="2" t="inlineStr">
        <is>
          <t>2024-10-24</t>
        </is>
      </c>
      <c r="G132" s="2" t="inlineStr">
        <is>
          <t>Central</t>
        </is>
      </c>
      <c r="H132" s="2" t="inlineStr">
        <is>
          <t>55+</t>
        </is>
      </c>
      <c r="I132" s="3" t="n">
        <v>296330</v>
      </c>
      <c r="J132" s="3" t="n">
        <v>16475</v>
      </c>
      <c r="K132" s="4" t="n">
        <v>5.56</v>
      </c>
      <c r="L132" s="3" t="n">
        <v>817</v>
      </c>
      <c r="M132" s="3" t="n">
        <v>336</v>
      </c>
      <c r="N132" s="4" t="n">
        <v>2.04</v>
      </c>
      <c r="O132" s="5" t="n">
        <v>95657.25</v>
      </c>
      <c r="P132" s="5" t="n">
        <v>153619.81</v>
      </c>
      <c r="Q132" s="4" t="n">
        <v>60.59</v>
      </c>
      <c r="R132" s="5" t="n">
        <v>5.81</v>
      </c>
      <c r="S132" s="5" t="n">
        <v>322.81</v>
      </c>
      <c r="T132" s="5" t="n">
        <v>284.69</v>
      </c>
      <c r="U132" s="3" t="n">
        <v>9</v>
      </c>
      <c r="V132" s="5" t="n">
        <v>57962.56</v>
      </c>
      <c r="W132" s="2" t="inlineStr">
        <is>
          <t>2024-10</t>
        </is>
      </c>
    </row>
    <row r="133">
      <c r="A133" s="6" t="inlineStr">
        <is>
          <t>C134</t>
        </is>
      </c>
      <c r="B133" s="6" t="inlineStr">
        <is>
          <t>Holiday Countdown</t>
        </is>
      </c>
      <c r="C133" s="6" t="inlineStr">
        <is>
          <t>Product Launch</t>
        </is>
      </c>
      <c r="D133" s="6" t="inlineStr">
        <is>
          <t>Email</t>
        </is>
      </c>
      <c r="E133" s="6" t="inlineStr">
        <is>
          <t>2024-10-06</t>
        </is>
      </c>
      <c r="F133" s="6" t="inlineStr">
        <is>
          <t>2024-10-31</t>
        </is>
      </c>
      <c r="G133" s="6" t="inlineStr">
        <is>
          <t>Central</t>
        </is>
      </c>
      <c r="H133" s="6" t="inlineStr">
        <is>
          <t>18-24</t>
        </is>
      </c>
      <c r="I133" s="7" t="n">
        <v>29798</v>
      </c>
      <c r="J133" s="7" t="n">
        <v>5825</v>
      </c>
      <c r="K133" s="8" t="n">
        <v>19.55</v>
      </c>
      <c r="L133" s="7" t="n">
        <v>1710</v>
      </c>
      <c r="M133" s="7" t="n">
        <v>818</v>
      </c>
      <c r="N133" s="8" t="n">
        <v>14.04</v>
      </c>
      <c r="O133" s="9" t="n">
        <v>14471.98</v>
      </c>
      <c r="P133" s="9" t="n">
        <v>39836.62</v>
      </c>
      <c r="Q133" s="8" t="n">
        <v>175.27</v>
      </c>
      <c r="R133" s="9" t="n">
        <v>2.48</v>
      </c>
      <c r="S133" s="9" t="n">
        <v>485.67</v>
      </c>
      <c r="T133" s="9" t="n">
        <v>17.69</v>
      </c>
      <c r="U133" s="7" t="n">
        <v>25</v>
      </c>
      <c r="V133" s="9" t="n">
        <v>25364.64</v>
      </c>
      <c r="W133" s="6" t="inlineStr">
        <is>
          <t>2024-10</t>
        </is>
      </c>
    </row>
    <row r="134">
      <c r="A134" s="2" t="inlineStr">
        <is>
          <t>C135</t>
        </is>
      </c>
      <c r="B134" s="2" t="inlineStr">
        <is>
          <t>Email Nurture Series</t>
        </is>
      </c>
      <c r="C134" s="2" t="inlineStr">
        <is>
          <t>Product Launch</t>
        </is>
      </c>
      <c r="D134" s="2" t="inlineStr">
        <is>
          <t>Facebook</t>
        </is>
      </c>
      <c r="E134" s="2" t="inlineStr">
        <is>
          <t>2024-04-14</t>
        </is>
      </c>
      <c r="F134" s="2" t="inlineStr">
        <is>
          <t>2024-05-12</t>
        </is>
      </c>
      <c r="G134" s="2" t="inlineStr">
        <is>
          <t>West</t>
        </is>
      </c>
      <c r="H134" s="2" t="inlineStr">
        <is>
          <t>45-54</t>
        </is>
      </c>
      <c r="I134" s="3" t="n">
        <v>239032</v>
      </c>
      <c r="J134" s="3" t="n">
        <v>7792</v>
      </c>
      <c r="K134" s="4" t="n">
        <v>3.26</v>
      </c>
      <c r="L134" s="3" t="n">
        <v>550</v>
      </c>
      <c r="M134" s="3" t="n">
        <v>341</v>
      </c>
      <c r="N134" s="4" t="n">
        <v>4.38</v>
      </c>
      <c r="O134" s="5" t="n">
        <v>89580.17999999999</v>
      </c>
      <c r="P134" s="5" t="n">
        <v>126651.93</v>
      </c>
      <c r="Q134" s="4" t="n">
        <v>41.38</v>
      </c>
      <c r="R134" s="5" t="n">
        <v>11.5</v>
      </c>
      <c r="S134" s="5" t="n">
        <v>374.76</v>
      </c>
      <c r="T134" s="5" t="n">
        <v>262.7</v>
      </c>
      <c r="U134" s="3" t="n">
        <v>28</v>
      </c>
      <c r="V134" s="5" t="n">
        <v>37071.75</v>
      </c>
      <c r="W134" s="2" t="inlineStr">
        <is>
          <t>2024-04</t>
        </is>
      </c>
    </row>
    <row r="135">
      <c r="A135" s="6" t="inlineStr">
        <is>
          <t>C136</t>
        </is>
      </c>
      <c r="B135" s="6" t="inlineStr">
        <is>
          <t>Awareness Wave</t>
        </is>
      </c>
      <c r="C135" s="6" t="inlineStr">
        <is>
          <t>Seasonal Sale</t>
        </is>
      </c>
      <c r="D135" s="6" t="inlineStr">
        <is>
          <t>Instagram</t>
        </is>
      </c>
      <c r="E135" s="6" t="inlineStr">
        <is>
          <t>2024-05-03</t>
        </is>
      </c>
      <c r="F135" s="6" t="inlineStr">
        <is>
          <t>2024-06-08</t>
        </is>
      </c>
      <c r="G135" s="6" t="inlineStr">
        <is>
          <t>Central</t>
        </is>
      </c>
      <c r="H135" s="6" t="inlineStr">
        <is>
          <t>18-24</t>
        </is>
      </c>
      <c r="I135" s="7" t="n">
        <v>164236</v>
      </c>
      <c r="J135" s="7" t="n">
        <v>4500</v>
      </c>
      <c r="K135" s="8" t="n">
        <v>2.74</v>
      </c>
      <c r="L135" s="7" t="n">
        <v>427.5</v>
      </c>
      <c r="M135" s="7" t="n">
        <v>95</v>
      </c>
      <c r="N135" s="8" t="n">
        <v>2.11</v>
      </c>
      <c r="O135" s="9" t="n">
        <v>74268.47</v>
      </c>
      <c r="P135" s="9" t="n">
        <v>235727.62</v>
      </c>
      <c r="Q135" s="8" t="n">
        <v>217.4</v>
      </c>
      <c r="R135" s="9" t="n">
        <v>16.5</v>
      </c>
      <c r="S135" s="9" t="n">
        <v>452.21</v>
      </c>
      <c r="T135" s="9" t="n">
        <v>781.77</v>
      </c>
      <c r="U135" s="7" t="n">
        <v>36</v>
      </c>
      <c r="V135" s="9" t="n">
        <v>161459.15</v>
      </c>
      <c r="W135" s="6" t="inlineStr">
        <is>
          <t>2024-05</t>
        </is>
      </c>
    </row>
    <row r="136">
      <c r="A136" s="2" t="inlineStr">
        <is>
          <t>C137</t>
        </is>
      </c>
      <c r="B136" s="2" t="inlineStr">
        <is>
          <t>Win-Back Campaign</t>
        </is>
      </c>
      <c r="C136" s="2" t="inlineStr">
        <is>
          <t>Lead Generation</t>
        </is>
      </c>
      <c r="D136" s="2" t="inlineStr">
        <is>
          <t>LinkedIn</t>
        </is>
      </c>
      <c r="E136" s="2" t="inlineStr">
        <is>
          <t>2024-06-09</t>
        </is>
      </c>
      <c r="F136" s="2" t="inlineStr">
        <is>
          <t>2024-06-28</t>
        </is>
      </c>
      <c r="G136" s="2" t="inlineStr">
        <is>
          <t>South</t>
        </is>
      </c>
      <c r="H136" s="2" t="inlineStr">
        <is>
          <t>35-44</t>
        </is>
      </c>
      <c r="I136" s="3" t="n">
        <v>70011</v>
      </c>
      <c r="J136" s="3" t="n">
        <v>1449</v>
      </c>
      <c r="K136" s="4" t="n">
        <v>2.07</v>
      </c>
      <c r="L136" s="3" t="n">
        <v>207</v>
      </c>
      <c r="M136" s="3" t="n">
        <v>115</v>
      </c>
      <c r="N136" s="4" t="n">
        <v>7.94</v>
      </c>
      <c r="O136" s="5" t="n">
        <v>130744.33</v>
      </c>
      <c r="P136" s="5" t="n">
        <v>172074.94</v>
      </c>
      <c r="Q136" s="4" t="n">
        <v>31.61</v>
      </c>
      <c r="R136" s="5" t="n">
        <v>90.23</v>
      </c>
      <c r="S136" s="5" t="n">
        <v>1867.48</v>
      </c>
      <c r="T136" s="5" t="n">
        <v>1136.91</v>
      </c>
      <c r="U136" s="3" t="n">
        <v>19</v>
      </c>
      <c r="V136" s="5" t="n">
        <v>41330.61</v>
      </c>
      <c r="W136" s="2" t="inlineStr">
        <is>
          <t>2024-06</t>
        </is>
      </c>
    </row>
    <row r="137">
      <c r="A137" s="6" t="inlineStr">
        <is>
          <t>C138</t>
        </is>
      </c>
      <c r="B137" s="6" t="inlineStr">
        <is>
          <t>Retarget Lost Carts</t>
        </is>
      </c>
      <c r="C137" s="6" t="inlineStr">
        <is>
          <t>Seasonal Sale</t>
        </is>
      </c>
      <c r="D137" s="6" t="inlineStr">
        <is>
          <t>LinkedIn</t>
        </is>
      </c>
      <c r="E137" s="6" t="inlineStr">
        <is>
          <t>2024-10-25</t>
        </is>
      </c>
      <c r="F137" s="6" t="inlineStr">
        <is>
          <t>2024-11-23</t>
        </is>
      </c>
      <c r="G137" s="6" t="inlineStr">
        <is>
          <t>West</t>
        </is>
      </c>
      <c r="H137" s="6" t="inlineStr">
        <is>
          <t>25-34</t>
        </is>
      </c>
      <c r="I137" s="7" t="n">
        <v>23188</v>
      </c>
      <c r="J137" s="7" t="n">
        <v>428</v>
      </c>
      <c r="K137" s="8" t="n">
        <v>1.85</v>
      </c>
      <c r="L137" s="7" t="n">
        <v>53</v>
      </c>
      <c r="M137" s="7" t="n">
        <v>23</v>
      </c>
      <c r="N137" s="8" t="n">
        <v>5.37</v>
      </c>
      <c r="O137" s="9" t="n">
        <v>158503.85</v>
      </c>
      <c r="P137" s="9" t="n">
        <v>177465</v>
      </c>
      <c r="Q137" s="8" t="n">
        <v>11.96</v>
      </c>
      <c r="R137" s="9" t="n">
        <v>370.34</v>
      </c>
      <c r="S137" s="9" t="n">
        <v>6835.6</v>
      </c>
      <c r="T137" s="9" t="n">
        <v>6891.47</v>
      </c>
      <c r="U137" s="7" t="n">
        <v>29</v>
      </c>
      <c r="V137" s="9" t="n">
        <v>18961.15</v>
      </c>
      <c r="W137" s="6" t="inlineStr">
        <is>
          <t>2024-10</t>
        </is>
      </c>
    </row>
    <row r="138">
      <c r="A138" s="2" t="inlineStr">
        <is>
          <t>C139</t>
        </is>
      </c>
      <c r="B138" s="2" t="inlineStr">
        <is>
          <t>Growth Hack Sprint</t>
        </is>
      </c>
      <c r="C138" s="2" t="inlineStr">
        <is>
          <t>Product Launch</t>
        </is>
      </c>
      <c r="D138" s="2" t="inlineStr">
        <is>
          <t>Google Ads</t>
        </is>
      </c>
      <c r="E138" s="2" t="inlineStr">
        <is>
          <t>2024-07-25</t>
        </is>
      </c>
      <c r="F138" s="2" t="inlineStr">
        <is>
          <t>2024-08-24</t>
        </is>
      </c>
      <c r="G138" s="2" t="inlineStr">
        <is>
          <t>South</t>
        </is>
      </c>
      <c r="H138" s="2" t="inlineStr">
        <is>
          <t>35-44</t>
        </is>
      </c>
      <c r="I138" s="3" t="n">
        <v>61860</v>
      </c>
      <c r="J138" s="3" t="n">
        <v>3785</v>
      </c>
      <c r="K138" s="4" t="n">
        <v>6.12</v>
      </c>
      <c r="L138" s="3" t="n">
        <v>257</v>
      </c>
      <c r="M138" s="3" t="n">
        <v>177</v>
      </c>
      <c r="N138" s="4" t="n">
        <v>4.68</v>
      </c>
      <c r="O138" s="5" t="n">
        <v>102998.06</v>
      </c>
      <c r="P138" s="5" t="n">
        <v>208801.5</v>
      </c>
      <c r="Q138" s="4" t="n">
        <v>102.72</v>
      </c>
      <c r="R138" s="5" t="n">
        <v>27.21</v>
      </c>
      <c r="S138" s="5" t="n">
        <v>1665.02</v>
      </c>
      <c r="T138" s="5" t="n">
        <v>581.91</v>
      </c>
      <c r="U138" s="3" t="n">
        <v>30</v>
      </c>
      <c r="V138" s="5" t="n">
        <v>105803.44</v>
      </c>
      <c r="W138" s="2" t="inlineStr">
        <is>
          <t>2024-07</t>
        </is>
      </c>
    </row>
    <row r="139">
      <c r="A139" s="6" t="inlineStr">
        <is>
          <t>C140</t>
        </is>
      </c>
      <c r="B139" s="6" t="inlineStr">
        <is>
          <t>Referral Boost Program</t>
        </is>
      </c>
      <c r="C139" s="6" t="inlineStr">
        <is>
          <t>Seasonal Sale</t>
        </is>
      </c>
      <c r="D139" s="6" t="inlineStr">
        <is>
          <t>LinkedIn</t>
        </is>
      </c>
      <c r="E139" s="6" t="inlineStr">
        <is>
          <t>2024-03-01</t>
        </is>
      </c>
      <c r="F139" s="6" t="inlineStr">
        <is>
          <t>2024-03-16</t>
        </is>
      </c>
      <c r="G139" s="6" t="inlineStr">
        <is>
          <t>East</t>
        </is>
      </c>
      <c r="H139" s="6" t="inlineStr">
        <is>
          <t>55+</t>
        </is>
      </c>
      <c r="I139" s="7" t="n">
        <v>26336</v>
      </c>
      <c r="J139" s="7" t="n">
        <v>668</v>
      </c>
      <c r="K139" s="8" t="n">
        <v>2.54</v>
      </c>
      <c r="L139" s="7" t="n">
        <v>75</v>
      </c>
      <c r="M139" s="7" t="n">
        <v>46</v>
      </c>
      <c r="N139" s="8" t="n">
        <v>6.89</v>
      </c>
      <c r="O139" s="9" t="n">
        <v>160714.75</v>
      </c>
      <c r="P139" s="9" t="n">
        <v>253565.92</v>
      </c>
      <c r="Q139" s="8" t="n">
        <v>57.77</v>
      </c>
      <c r="R139" s="9" t="n">
        <v>240.59</v>
      </c>
      <c r="S139" s="9" t="n">
        <v>6102.47</v>
      </c>
      <c r="T139" s="9" t="n">
        <v>3493.8</v>
      </c>
      <c r="U139" s="7" t="n">
        <v>15</v>
      </c>
      <c r="V139" s="9" t="n">
        <v>92851.17</v>
      </c>
      <c r="W139" s="6" t="inlineStr">
        <is>
          <t>2024-03</t>
        </is>
      </c>
    </row>
    <row r="140">
      <c r="A140" s="2" t="inlineStr">
        <is>
          <t>C141</t>
        </is>
      </c>
      <c r="B140" s="2" t="inlineStr">
        <is>
          <t>Back to School Drive</t>
        </is>
      </c>
      <c r="C140" s="2" t="inlineStr">
        <is>
          <t>Product Launch</t>
        </is>
      </c>
      <c r="D140" s="2" t="inlineStr">
        <is>
          <t>Email</t>
        </is>
      </c>
      <c r="E140" s="2" t="inlineStr">
        <is>
          <t>2024-01-20</t>
        </is>
      </c>
      <c r="F140" s="2" t="inlineStr">
        <is>
          <t>2024-02-04</t>
        </is>
      </c>
      <c r="G140" s="2" t="inlineStr">
        <is>
          <t>Central</t>
        </is>
      </c>
      <c r="H140" s="2" t="inlineStr">
        <is>
          <t>18-24</t>
        </is>
      </c>
      <c r="I140" s="3" t="n">
        <v>31826</v>
      </c>
      <c r="J140" s="3" t="n">
        <v>7695</v>
      </c>
      <c r="K140" s="4" t="n">
        <v>24.18</v>
      </c>
      <c r="L140" s="3" t="n">
        <v>1199</v>
      </c>
      <c r="M140" s="3" t="n">
        <v>861</v>
      </c>
      <c r="N140" s="4" t="n">
        <v>11.19</v>
      </c>
      <c r="O140" s="5" t="n">
        <v>18737.63</v>
      </c>
      <c r="P140" s="5" t="n">
        <v>62495.34</v>
      </c>
      <c r="Q140" s="4" t="n">
        <v>233.53</v>
      </c>
      <c r="R140" s="5" t="n">
        <v>2.44</v>
      </c>
      <c r="S140" s="5" t="n">
        <v>588.75</v>
      </c>
      <c r="T140" s="5" t="n">
        <v>21.76</v>
      </c>
      <c r="U140" s="3" t="n">
        <v>15</v>
      </c>
      <c r="V140" s="5" t="n">
        <v>43757.71</v>
      </c>
      <c r="W140" s="2" t="inlineStr">
        <is>
          <t>2024-01</t>
        </is>
      </c>
    </row>
    <row r="141">
      <c r="A141" s="6" t="inlineStr">
        <is>
          <t>C142</t>
        </is>
      </c>
      <c r="B141" s="6" t="inlineStr">
        <is>
          <t>Loyalty Rewards Campaign</t>
        </is>
      </c>
      <c r="C141" s="6" t="inlineStr">
        <is>
          <t>Lead Generation</t>
        </is>
      </c>
      <c r="D141" s="6" t="inlineStr">
        <is>
          <t>Instagram</t>
        </is>
      </c>
      <c r="E141" s="6" t="inlineStr">
        <is>
          <t>2024-06-21</t>
        </is>
      </c>
      <c r="F141" s="6" t="inlineStr">
        <is>
          <t>2024-07-30</t>
        </is>
      </c>
      <c r="G141" s="6" t="inlineStr">
        <is>
          <t>West</t>
        </is>
      </c>
      <c r="H141" s="6" t="inlineStr">
        <is>
          <t>55+</t>
        </is>
      </c>
      <c r="I141" s="7" t="n">
        <v>367236</v>
      </c>
      <c r="J141" s="7" t="n">
        <v>12412</v>
      </c>
      <c r="K141" s="8" t="n">
        <v>3.38</v>
      </c>
      <c r="L141" s="7" t="n">
        <v>643</v>
      </c>
      <c r="M141" s="7" t="n">
        <v>405</v>
      </c>
      <c r="N141" s="8" t="n">
        <v>3.26</v>
      </c>
      <c r="O141" s="9" t="n">
        <v>25748.79</v>
      </c>
      <c r="P141" s="9" t="n">
        <v>69962.95</v>
      </c>
      <c r="Q141" s="8" t="n">
        <v>171.71</v>
      </c>
      <c r="R141" s="9" t="n">
        <v>2.07</v>
      </c>
      <c r="S141" s="9" t="n">
        <v>70.12</v>
      </c>
      <c r="T141" s="9" t="n">
        <v>63.58</v>
      </c>
      <c r="U141" s="7" t="n">
        <v>39</v>
      </c>
      <c r="V141" s="9" t="n">
        <v>44214.16</v>
      </c>
      <c r="W141" s="6" t="inlineStr">
        <is>
          <t>2024-06</t>
        </is>
      </c>
    </row>
    <row r="142">
      <c r="A142" s="2" t="inlineStr">
        <is>
          <t>C143</t>
        </is>
      </c>
      <c r="B142" s="2" t="inlineStr">
        <is>
          <t>Referral Boost Program</t>
        </is>
      </c>
      <c r="C142" s="2" t="inlineStr">
        <is>
          <t>Seasonal Sale</t>
        </is>
      </c>
      <c r="D142" s="2" t="inlineStr">
        <is>
          <t>LinkedIn</t>
        </is>
      </c>
      <c r="E142" s="2" t="inlineStr">
        <is>
          <t>2024-08-30</t>
        </is>
      </c>
      <c r="F142" s="2" t="inlineStr">
        <is>
          <t>2024-09-22</t>
        </is>
      </c>
      <c r="G142" s="2" t="inlineStr">
        <is>
          <t>East</t>
        </is>
      </c>
      <c r="H142" s="2" t="inlineStr">
        <is>
          <t>18-24</t>
        </is>
      </c>
      <c r="I142" s="3" t="n">
        <v>62964</v>
      </c>
      <c r="J142" s="3" t="n">
        <v>2090</v>
      </c>
      <c r="K142" s="4" t="n">
        <v>3.32</v>
      </c>
      <c r="L142" s="3" t="n">
        <v>278</v>
      </c>
      <c r="M142" s="3" t="n">
        <v>143</v>
      </c>
      <c r="N142" s="4" t="n">
        <v>6.84</v>
      </c>
      <c r="O142" s="5" t="n">
        <v>65582.22</v>
      </c>
      <c r="P142" s="5" t="n">
        <v>98978.58</v>
      </c>
      <c r="Q142" s="4" t="n">
        <v>50.92</v>
      </c>
      <c r="R142" s="5" t="n">
        <v>31.38</v>
      </c>
      <c r="S142" s="5" t="n">
        <v>1041.58</v>
      </c>
      <c r="T142" s="5" t="n">
        <v>458.62</v>
      </c>
      <c r="U142" s="3" t="n">
        <v>23</v>
      </c>
      <c r="V142" s="5" t="n">
        <v>33396.36</v>
      </c>
      <c r="W142" s="2" t="inlineStr">
        <is>
          <t>2024-08</t>
        </is>
      </c>
    </row>
    <row r="143">
      <c r="A143" s="6" t="inlineStr">
        <is>
          <t>C144</t>
        </is>
      </c>
      <c r="B143" s="6" t="inlineStr">
        <is>
          <t>Flash Sale Weekend</t>
        </is>
      </c>
      <c r="C143" s="6" t="inlineStr">
        <is>
          <t>Seasonal Sale</t>
        </is>
      </c>
      <c r="D143" s="6" t="inlineStr">
        <is>
          <t>YouTube</t>
        </is>
      </c>
      <c r="E143" s="6" t="inlineStr">
        <is>
          <t>2024-01-17</t>
        </is>
      </c>
      <c r="F143" s="6" t="inlineStr">
        <is>
          <t>2024-02-29</t>
        </is>
      </c>
      <c r="G143" s="6" t="inlineStr">
        <is>
          <t>West</t>
        </is>
      </c>
      <c r="H143" s="6" t="inlineStr">
        <is>
          <t>25-34</t>
        </is>
      </c>
      <c r="I143" s="7" t="n">
        <v>315233</v>
      </c>
      <c r="J143" s="7" t="n">
        <v>4034</v>
      </c>
      <c r="K143" s="8" t="n">
        <v>1.28</v>
      </c>
      <c r="L143" s="7" t="n">
        <v>144</v>
      </c>
      <c r="M143" s="7" t="n">
        <v>83</v>
      </c>
      <c r="N143" s="8" t="n">
        <v>2.06</v>
      </c>
      <c r="O143" s="9" t="n">
        <v>181076.05</v>
      </c>
      <c r="P143" s="9" t="n">
        <v>377526.5</v>
      </c>
      <c r="Q143" s="8" t="n">
        <v>108.49</v>
      </c>
      <c r="R143" s="9" t="n">
        <v>44.89</v>
      </c>
      <c r="S143" s="9" t="n">
        <v>574.42</v>
      </c>
      <c r="T143" s="9" t="n">
        <v>2181.64</v>
      </c>
      <c r="U143" s="7" t="n">
        <v>43</v>
      </c>
      <c r="V143" s="9" t="n">
        <v>196450.45</v>
      </c>
      <c r="W143" s="6" t="inlineStr">
        <is>
          <t>2024-01</t>
        </is>
      </c>
    </row>
    <row r="144">
      <c r="A144" s="2" t="inlineStr">
        <is>
          <t>C145</t>
        </is>
      </c>
      <c r="B144" s="2" t="inlineStr">
        <is>
          <t>App Install Drive</t>
        </is>
      </c>
      <c r="C144" s="2" t="inlineStr">
        <is>
          <t>Product Launch</t>
        </is>
      </c>
      <c r="D144" s="2" t="inlineStr">
        <is>
          <t>Email</t>
        </is>
      </c>
      <c r="E144" s="2" t="inlineStr">
        <is>
          <t>2024-04-16</t>
        </is>
      </c>
      <c r="F144" s="2" t="inlineStr">
        <is>
          <t>2024-05-28</t>
        </is>
      </c>
      <c r="G144" s="2" t="inlineStr">
        <is>
          <t>North</t>
        </is>
      </c>
      <c r="H144" s="2" t="inlineStr">
        <is>
          <t>25-34</t>
        </is>
      </c>
      <c r="I144" s="3" t="n">
        <v>31302</v>
      </c>
      <c r="J144" s="3" t="n">
        <v>8442</v>
      </c>
      <c r="K144" s="4" t="n">
        <v>26.97</v>
      </c>
      <c r="L144" s="3" t="n">
        <v>1537</v>
      </c>
      <c r="M144" s="3" t="n">
        <v>910</v>
      </c>
      <c r="N144" s="4" t="n">
        <v>10.78</v>
      </c>
      <c r="O144" s="5" t="n">
        <v>10501.78</v>
      </c>
      <c r="P144" s="5" t="n">
        <v>24989.04</v>
      </c>
      <c r="Q144" s="4" t="n">
        <v>137.95</v>
      </c>
      <c r="R144" s="5" t="n">
        <v>1.24</v>
      </c>
      <c r="S144" s="5" t="n">
        <v>335.5</v>
      </c>
      <c r="T144" s="5" t="n">
        <v>11.54</v>
      </c>
      <c r="U144" s="3" t="n">
        <v>42</v>
      </c>
      <c r="V144" s="5" t="n">
        <v>14487.26</v>
      </c>
      <c r="W144" s="2" t="inlineStr">
        <is>
          <t>2024-04</t>
        </is>
      </c>
    </row>
    <row r="145">
      <c r="A145" s="6" t="inlineStr">
        <is>
          <t>C146</t>
        </is>
      </c>
      <c r="B145" s="6" t="inlineStr">
        <is>
          <t>Holiday Countdown</t>
        </is>
      </c>
      <c r="C145" s="6" t="inlineStr">
        <is>
          <t>Retargeting</t>
        </is>
      </c>
      <c r="D145" s="6" t="inlineStr">
        <is>
          <t>Email</t>
        </is>
      </c>
      <c r="E145" s="6" t="inlineStr">
        <is>
          <t>2024-04-08</t>
        </is>
      </c>
      <c r="F145" s="6" t="inlineStr">
        <is>
          <t>2024-04-30</t>
        </is>
      </c>
      <c r="G145" s="6" t="inlineStr">
        <is>
          <t>East</t>
        </is>
      </c>
      <c r="H145" s="6" t="inlineStr">
        <is>
          <t>55+</t>
        </is>
      </c>
      <c r="I145" s="7" t="n">
        <v>28284</v>
      </c>
      <c r="J145" s="7" t="n">
        <v>5837</v>
      </c>
      <c r="K145" s="8" t="n">
        <v>20.64</v>
      </c>
      <c r="L145" s="7" t="n">
        <v>1185</v>
      </c>
      <c r="M145" s="7" t="n">
        <v>481</v>
      </c>
      <c r="N145" s="8" t="n">
        <v>8.24</v>
      </c>
      <c r="O145" s="9" t="n">
        <v>16352.15</v>
      </c>
      <c r="P145" s="9" t="n">
        <v>45651.32</v>
      </c>
      <c r="Q145" s="8" t="n">
        <v>179.18</v>
      </c>
      <c r="R145" s="9" t="n">
        <v>2.8</v>
      </c>
      <c r="S145" s="9" t="n">
        <v>578.14</v>
      </c>
      <c r="T145" s="9" t="n">
        <v>34</v>
      </c>
      <c r="U145" s="7" t="n">
        <v>22</v>
      </c>
      <c r="V145" s="9" t="n">
        <v>29299.17</v>
      </c>
      <c r="W145" s="6" t="inlineStr">
        <is>
          <t>2024-04</t>
        </is>
      </c>
    </row>
    <row r="146">
      <c r="A146" s="2" t="inlineStr">
        <is>
          <t>C147</t>
        </is>
      </c>
      <c r="B146" s="2" t="inlineStr">
        <is>
          <t>Growth Hack Sprint</t>
        </is>
      </c>
      <c r="C146" s="2" t="inlineStr">
        <is>
          <t>Product Launch</t>
        </is>
      </c>
      <c r="D146" s="2" t="inlineStr">
        <is>
          <t>YouTube</t>
        </is>
      </c>
      <c r="E146" s="2" t="inlineStr">
        <is>
          <t>2024-10-13</t>
        </is>
      </c>
      <c r="F146" s="2" t="inlineStr">
        <is>
          <t>2024-11-06</t>
        </is>
      </c>
      <c r="G146" s="2" t="inlineStr">
        <is>
          <t>East</t>
        </is>
      </c>
      <c r="H146" s="2" t="inlineStr">
        <is>
          <t>45-54</t>
        </is>
      </c>
      <c r="I146" s="3" t="n">
        <v>501769</v>
      </c>
      <c r="J146" s="3" t="n">
        <v>6021</v>
      </c>
      <c r="K146" s="4" t="n">
        <v>1.2</v>
      </c>
      <c r="L146" s="3" t="n">
        <v>259</v>
      </c>
      <c r="M146" s="3" t="n">
        <v>153</v>
      </c>
      <c r="N146" s="4" t="n">
        <v>2.54</v>
      </c>
      <c r="O146" s="5" t="n">
        <v>184236.21</v>
      </c>
      <c r="P146" s="5" t="n">
        <v>624756.28</v>
      </c>
      <c r="Q146" s="4" t="n">
        <v>239.11</v>
      </c>
      <c r="R146" s="5" t="n">
        <v>30.6</v>
      </c>
      <c r="S146" s="5" t="n">
        <v>367.17</v>
      </c>
      <c r="T146" s="5" t="n">
        <v>1204.16</v>
      </c>
      <c r="U146" s="3" t="n">
        <v>24</v>
      </c>
      <c r="V146" s="5" t="n">
        <v>440520.07</v>
      </c>
      <c r="W146" s="2" t="inlineStr">
        <is>
          <t>2024-10</t>
        </is>
      </c>
    </row>
    <row r="147">
      <c r="A147" s="6" t="inlineStr">
        <is>
          <t>C148</t>
        </is>
      </c>
      <c r="B147" s="6" t="inlineStr">
        <is>
          <t>Festive Season Blitz</t>
        </is>
      </c>
      <c r="C147" s="6" t="inlineStr">
        <is>
          <t>Retargeting</t>
        </is>
      </c>
      <c r="D147" s="6" t="inlineStr">
        <is>
          <t>Facebook</t>
        </is>
      </c>
      <c r="E147" s="6" t="inlineStr">
        <is>
          <t>2024-06-26</t>
        </is>
      </c>
      <c r="F147" s="6" t="inlineStr">
        <is>
          <t>2024-07-31</t>
        </is>
      </c>
      <c r="G147" s="6" t="inlineStr">
        <is>
          <t>North</t>
        </is>
      </c>
      <c r="H147" s="6" t="inlineStr">
        <is>
          <t>35-44</t>
        </is>
      </c>
      <c r="I147" s="7" t="n">
        <v>251959</v>
      </c>
      <c r="J147" s="7" t="n">
        <v>9120</v>
      </c>
      <c r="K147" s="8" t="n">
        <v>3.62</v>
      </c>
      <c r="L147" s="7" t="n">
        <v>431</v>
      </c>
      <c r="M147" s="7" t="n">
        <v>295</v>
      </c>
      <c r="N147" s="8" t="n">
        <v>3.23</v>
      </c>
      <c r="O147" s="9" t="n">
        <v>91383.11</v>
      </c>
      <c r="P147" s="9" t="n">
        <v>223782.91</v>
      </c>
      <c r="Q147" s="8" t="n">
        <v>144.88</v>
      </c>
      <c r="R147" s="9" t="n">
        <v>10.02</v>
      </c>
      <c r="S147" s="9" t="n">
        <v>362.69</v>
      </c>
      <c r="T147" s="9" t="n">
        <v>309.77</v>
      </c>
      <c r="U147" s="7" t="n">
        <v>35</v>
      </c>
      <c r="V147" s="9" t="n">
        <v>132399.8</v>
      </c>
      <c r="W147" s="6" t="inlineStr">
        <is>
          <t>2024-06</t>
        </is>
      </c>
    </row>
    <row r="148">
      <c r="A148" s="2" t="inlineStr">
        <is>
          <t>C149</t>
        </is>
      </c>
      <c r="B148" s="2" t="inlineStr">
        <is>
          <t>Win-Back Campaign</t>
        </is>
      </c>
      <c r="C148" s="2" t="inlineStr">
        <is>
          <t>Lead Generation</t>
        </is>
      </c>
      <c r="D148" s="2" t="inlineStr">
        <is>
          <t>Instagram</t>
        </is>
      </c>
      <c r="E148" s="2" t="inlineStr">
        <is>
          <t>2024-05-02</t>
        </is>
      </c>
      <c r="F148" s="2" t="inlineStr">
        <is>
          <t>2024-05-24</t>
        </is>
      </c>
      <c r="G148" s="2" t="inlineStr">
        <is>
          <t>North</t>
        </is>
      </c>
      <c r="H148" s="2" t="inlineStr">
        <is>
          <t>55+</t>
        </is>
      </c>
      <c r="I148" s="3" t="n">
        <v>126615</v>
      </c>
      <c r="J148" s="3" t="n">
        <v>4697</v>
      </c>
      <c r="K148" s="4" t="n">
        <v>3.71</v>
      </c>
      <c r="L148" s="3" t="n">
        <v>267</v>
      </c>
      <c r="M148" s="3" t="n">
        <v>132</v>
      </c>
      <c r="N148" s="4" t="n">
        <v>2.81</v>
      </c>
      <c r="O148" s="5" t="n">
        <v>26781.72</v>
      </c>
      <c r="P148" s="5" t="n">
        <v>50689.89</v>
      </c>
      <c r="Q148" s="4" t="n">
        <v>89.27</v>
      </c>
      <c r="R148" s="5" t="n">
        <v>5.7</v>
      </c>
      <c r="S148" s="5" t="n">
        <v>211.52</v>
      </c>
      <c r="T148" s="5" t="n">
        <v>202.89</v>
      </c>
      <c r="U148" s="3" t="n">
        <v>22</v>
      </c>
      <c r="V148" s="5" t="n">
        <v>23908.17</v>
      </c>
      <c r="W148" s="2" t="inlineStr">
        <is>
          <t>2024-05</t>
        </is>
      </c>
    </row>
    <row r="149">
      <c r="A149" s="6" t="inlineStr">
        <is>
          <t>C150</t>
        </is>
      </c>
      <c r="B149" s="6" t="inlineStr">
        <is>
          <t>Cross-Sell Upsell</t>
        </is>
      </c>
      <c r="C149" s="6" t="inlineStr">
        <is>
          <t>Brand Awareness</t>
        </is>
      </c>
      <c r="D149" s="6" t="inlineStr">
        <is>
          <t>LinkedIn</t>
        </is>
      </c>
      <c r="E149" s="6" t="inlineStr">
        <is>
          <t>2024-03-21</t>
        </is>
      </c>
      <c r="F149" s="6" t="inlineStr">
        <is>
          <t>2024-04-23</t>
        </is>
      </c>
      <c r="G149" s="6" t="inlineStr">
        <is>
          <t>South</t>
        </is>
      </c>
      <c r="H149" s="6" t="inlineStr">
        <is>
          <t>18-24</t>
        </is>
      </c>
      <c r="I149" s="7" t="n">
        <v>62787</v>
      </c>
      <c r="J149" s="7" t="n">
        <v>2272</v>
      </c>
      <c r="K149" s="8" t="n">
        <v>3.62</v>
      </c>
      <c r="L149" s="7" t="n">
        <v>304</v>
      </c>
      <c r="M149" s="7" t="n">
        <v>167</v>
      </c>
      <c r="N149" s="8" t="n">
        <v>7.35</v>
      </c>
      <c r="O149" s="9" t="n">
        <v>112756.45</v>
      </c>
      <c r="P149" s="9" t="n">
        <v>201765.05</v>
      </c>
      <c r="Q149" s="8" t="n">
        <v>78.94</v>
      </c>
      <c r="R149" s="9" t="n">
        <v>49.63</v>
      </c>
      <c r="S149" s="9" t="n">
        <v>1795.86</v>
      </c>
      <c r="T149" s="9" t="n">
        <v>675.1900000000001</v>
      </c>
      <c r="U149" s="7" t="n">
        <v>33</v>
      </c>
      <c r="V149" s="9" t="n">
        <v>89008.60000000001</v>
      </c>
      <c r="W149" s="6" t="inlineStr">
        <is>
          <t>2024-03</t>
        </is>
      </c>
    </row>
    <row r="150">
      <c r="A150" s="2" t="inlineStr">
        <is>
          <t>C151</t>
        </is>
      </c>
      <c r="B150" s="2" t="inlineStr">
        <is>
          <t>Flash Sale Weekend</t>
        </is>
      </c>
      <c r="C150" s="2" t="inlineStr">
        <is>
          <t>Brand Awareness</t>
        </is>
      </c>
      <c r="D150" s="2" t="inlineStr">
        <is>
          <t>Instagram</t>
        </is>
      </c>
      <c r="E150" s="2" t="inlineStr">
        <is>
          <t>2024-09-30</t>
        </is>
      </c>
      <c r="F150" s="2" t="inlineStr">
        <is>
          <t>2024-10-09</t>
        </is>
      </c>
      <c r="G150" s="2" t="inlineStr">
        <is>
          <t>North</t>
        </is>
      </c>
      <c r="H150" s="2" t="inlineStr">
        <is>
          <t>55+</t>
        </is>
      </c>
      <c r="I150" s="3" t="n">
        <v>191784</v>
      </c>
      <c r="J150" s="3" t="n">
        <v>5945</v>
      </c>
      <c r="K150" s="4" t="n">
        <v>3.1</v>
      </c>
      <c r="L150" s="3" t="n">
        <v>514</v>
      </c>
      <c r="M150" s="3" t="n">
        <v>213</v>
      </c>
      <c r="N150" s="4" t="n">
        <v>3.58</v>
      </c>
      <c r="O150" s="5" t="n">
        <v>35681.93</v>
      </c>
      <c r="P150" s="5" t="n">
        <v>73247.39999999999</v>
      </c>
      <c r="Q150" s="4" t="n">
        <v>105.28</v>
      </c>
      <c r="R150" s="5" t="n">
        <v>6</v>
      </c>
      <c r="S150" s="5" t="n">
        <v>186.05</v>
      </c>
      <c r="T150" s="5" t="n">
        <v>167.52</v>
      </c>
      <c r="U150" s="3" t="n">
        <v>9</v>
      </c>
      <c r="V150" s="5" t="n">
        <v>37565.47</v>
      </c>
      <c r="W150" s="2" t="inlineStr">
        <is>
          <t>2024-09</t>
        </is>
      </c>
    </row>
    <row r="151">
      <c r="A151" s="6" t="inlineStr">
        <is>
          <t>C152</t>
        </is>
      </c>
      <c r="B151" s="6" t="inlineStr">
        <is>
          <t>Summer Splash Sale</t>
        </is>
      </c>
      <c r="C151" s="6" t="inlineStr">
        <is>
          <t>Lead Generation</t>
        </is>
      </c>
      <c r="D151" s="6" t="inlineStr">
        <is>
          <t>LinkedIn</t>
        </is>
      </c>
      <c r="E151" s="6" t="inlineStr">
        <is>
          <t>2024-06-01</t>
        </is>
      </c>
      <c r="F151" s="6" t="inlineStr">
        <is>
          <t>2024-07-14</t>
        </is>
      </c>
      <c r="G151" s="6" t="inlineStr">
        <is>
          <t>East</t>
        </is>
      </c>
      <c r="H151" s="6" t="inlineStr">
        <is>
          <t>18-24</t>
        </is>
      </c>
      <c r="I151" s="7" t="n">
        <v>59503</v>
      </c>
      <c r="J151" s="7" t="n">
        <v>1166</v>
      </c>
      <c r="K151" s="8" t="n">
        <v>1.96</v>
      </c>
      <c r="L151" s="7" t="n">
        <v>144</v>
      </c>
      <c r="M151" s="7" t="n">
        <v>92</v>
      </c>
      <c r="N151" s="8" t="n">
        <v>7.89</v>
      </c>
      <c r="O151" s="9" t="n">
        <v>194293.77</v>
      </c>
      <c r="P151" s="9" t="n">
        <v>628389.5600000001</v>
      </c>
      <c r="Q151" s="8" t="n">
        <v>223.42</v>
      </c>
      <c r="R151" s="9" t="n">
        <v>166.63</v>
      </c>
      <c r="S151" s="9" t="n">
        <v>3265.28</v>
      </c>
      <c r="T151" s="9" t="n">
        <v>2111.89</v>
      </c>
      <c r="U151" s="7" t="n">
        <v>43</v>
      </c>
      <c r="V151" s="9" t="n">
        <v>434095.79</v>
      </c>
      <c r="W151" s="6" t="inlineStr">
        <is>
          <t>2024-06</t>
        </is>
      </c>
    </row>
    <row r="152">
      <c r="A152" s="2" t="inlineStr">
        <is>
          <t>C153</t>
        </is>
      </c>
      <c r="B152" s="2" t="inlineStr">
        <is>
          <t>Retarget Lost Carts</t>
        </is>
      </c>
      <c r="C152" s="2" t="inlineStr">
        <is>
          <t>Seasonal Sale</t>
        </is>
      </c>
      <c r="D152" s="2" t="inlineStr">
        <is>
          <t>Facebook</t>
        </is>
      </c>
      <c r="E152" s="2" t="inlineStr">
        <is>
          <t>2024-02-27</t>
        </is>
      </c>
      <c r="F152" s="2" t="inlineStr">
        <is>
          <t>2024-03-26</t>
        </is>
      </c>
      <c r="G152" s="2" t="inlineStr">
        <is>
          <t>West</t>
        </is>
      </c>
      <c r="H152" s="2" t="inlineStr">
        <is>
          <t>35-44</t>
        </is>
      </c>
      <c r="I152" s="3" t="n">
        <v>122596</v>
      </c>
      <c r="J152" s="3" t="n">
        <v>6301</v>
      </c>
      <c r="K152" s="4" t="n">
        <v>5.14</v>
      </c>
      <c r="L152" s="3" t="n">
        <v>501</v>
      </c>
      <c r="M152" s="3" t="n">
        <v>235</v>
      </c>
      <c r="N152" s="4" t="n">
        <v>3.73</v>
      </c>
      <c r="O152" s="5" t="n">
        <v>34860.13</v>
      </c>
      <c r="P152" s="5" t="n">
        <v>104505.18</v>
      </c>
      <c r="Q152" s="4" t="n">
        <v>199.78</v>
      </c>
      <c r="R152" s="5" t="n">
        <v>5.53</v>
      </c>
      <c r="S152" s="5" t="n">
        <v>284.35</v>
      </c>
      <c r="T152" s="5" t="n">
        <v>148.34</v>
      </c>
      <c r="U152" s="3" t="n">
        <v>28</v>
      </c>
      <c r="V152" s="5" t="n">
        <v>69645.05</v>
      </c>
      <c r="W152" s="2" t="inlineStr">
        <is>
          <t>2024-02</t>
        </is>
      </c>
    </row>
    <row r="153">
      <c r="A153" s="6" t="inlineStr">
        <is>
          <t>C154</t>
        </is>
      </c>
      <c r="B153" s="6" t="inlineStr">
        <is>
          <t>LinkedIn B2B Push</t>
        </is>
      </c>
      <c r="C153" s="6" t="inlineStr">
        <is>
          <t>Lead Generation</t>
        </is>
      </c>
      <c r="D153" s="6" t="inlineStr">
        <is>
          <t>Email</t>
        </is>
      </c>
      <c r="E153" s="6" t="inlineStr">
        <is>
          <t>2024-08-06</t>
        </is>
      </c>
      <c r="F153" s="6" t="inlineStr">
        <is>
          <t>2024-09-14</t>
        </is>
      </c>
      <c r="G153" s="6" t="inlineStr">
        <is>
          <t>South</t>
        </is>
      </c>
      <c r="H153" s="6" t="inlineStr">
        <is>
          <t>55+</t>
        </is>
      </c>
      <c r="I153" s="7" t="n">
        <v>31491</v>
      </c>
      <c r="J153" s="7" t="n">
        <v>4361</v>
      </c>
      <c r="K153" s="8" t="n">
        <v>13.85</v>
      </c>
      <c r="L153" s="7" t="n">
        <v>796</v>
      </c>
      <c r="M153" s="7" t="n">
        <v>553</v>
      </c>
      <c r="N153" s="8" t="n">
        <v>12.68</v>
      </c>
      <c r="O153" s="9" t="n">
        <v>9520.360000000001</v>
      </c>
      <c r="P153" s="9" t="n">
        <v>31854.94</v>
      </c>
      <c r="Q153" s="8" t="n">
        <v>234.6</v>
      </c>
      <c r="R153" s="9" t="n">
        <v>2.18</v>
      </c>
      <c r="S153" s="9" t="n">
        <v>302.32</v>
      </c>
      <c r="T153" s="9" t="n">
        <v>17.22</v>
      </c>
      <c r="U153" s="7" t="n">
        <v>39</v>
      </c>
      <c r="V153" s="9" t="n">
        <v>22334.58</v>
      </c>
      <c r="W153" s="6" t="inlineStr">
        <is>
          <t>2024-08</t>
        </is>
      </c>
    </row>
    <row r="154">
      <c r="A154" s="2" t="inlineStr">
        <is>
          <t>C155</t>
        </is>
      </c>
      <c r="B154" s="2" t="inlineStr">
        <is>
          <t>Email Nurture Series</t>
        </is>
      </c>
      <c r="C154" s="2" t="inlineStr">
        <is>
          <t>Retargeting</t>
        </is>
      </c>
      <c r="D154" s="2" t="inlineStr">
        <is>
          <t>Google Ads</t>
        </is>
      </c>
      <c r="E154" s="2" t="inlineStr">
        <is>
          <t>2024-05-16</t>
        </is>
      </c>
      <c r="F154" s="2" t="inlineStr">
        <is>
          <t>2024-06-13</t>
        </is>
      </c>
      <c r="G154" s="2" t="inlineStr">
        <is>
          <t>West</t>
        </is>
      </c>
      <c r="H154" s="2" t="inlineStr">
        <is>
          <t>25-34</t>
        </is>
      </c>
      <c r="I154" s="3" t="n">
        <v>129153</v>
      </c>
      <c r="J154" s="3" t="n">
        <v>9040</v>
      </c>
      <c r="K154" s="4" t="n">
        <v>7</v>
      </c>
      <c r="L154" s="3" t="n">
        <v>651</v>
      </c>
      <c r="M154" s="3" t="n">
        <v>423</v>
      </c>
      <c r="N154" s="4" t="n">
        <v>4.68</v>
      </c>
      <c r="O154" s="5" t="n">
        <v>93845.14</v>
      </c>
      <c r="P154" s="5" t="n">
        <v>117221.81</v>
      </c>
      <c r="Q154" s="4" t="n">
        <v>24.91</v>
      </c>
      <c r="R154" s="5" t="n">
        <v>10.38</v>
      </c>
      <c r="S154" s="5" t="n">
        <v>726.62</v>
      </c>
      <c r="T154" s="5" t="n">
        <v>221.86</v>
      </c>
      <c r="U154" s="3" t="n">
        <v>28</v>
      </c>
      <c r="V154" s="5" t="n">
        <v>23376.67</v>
      </c>
      <c r="W154" s="2" t="inlineStr">
        <is>
          <t>2024-05</t>
        </is>
      </c>
    </row>
    <row r="155">
      <c r="A155" s="6" t="inlineStr">
        <is>
          <t>C156</t>
        </is>
      </c>
      <c r="B155" s="6" t="inlineStr">
        <is>
          <t>LinkedIn B2B Push</t>
        </is>
      </c>
      <c r="C155" s="6" t="inlineStr">
        <is>
          <t>Product Launch</t>
        </is>
      </c>
      <c r="D155" s="6" t="inlineStr">
        <is>
          <t>Google Ads</t>
        </is>
      </c>
      <c r="E155" s="6" t="inlineStr">
        <is>
          <t>2024-09-14</t>
        </is>
      </c>
      <c r="F155" s="6" t="inlineStr">
        <is>
          <t>2024-10-10</t>
        </is>
      </c>
      <c r="G155" s="6" t="inlineStr">
        <is>
          <t>East</t>
        </is>
      </c>
      <c r="H155" s="6" t="inlineStr">
        <is>
          <t>25-34</t>
        </is>
      </c>
      <c r="I155" s="7" t="n">
        <v>80779</v>
      </c>
      <c r="J155" s="7" t="n">
        <v>5872</v>
      </c>
      <c r="K155" s="8" t="n">
        <v>7.27</v>
      </c>
      <c r="L155" s="7" t="n">
        <v>605</v>
      </c>
      <c r="M155" s="7" t="n">
        <v>361</v>
      </c>
      <c r="N155" s="8" t="n">
        <v>6.15</v>
      </c>
      <c r="O155" s="9" t="n">
        <v>61200.9</v>
      </c>
      <c r="P155" s="9" t="n">
        <v>86939.86</v>
      </c>
      <c r="Q155" s="8" t="n">
        <v>42.06</v>
      </c>
      <c r="R155" s="9" t="n">
        <v>10.42</v>
      </c>
      <c r="S155" s="9" t="n">
        <v>757.63</v>
      </c>
      <c r="T155" s="9" t="n">
        <v>169.53</v>
      </c>
      <c r="U155" s="7" t="n">
        <v>26</v>
      </c>
      <c r="V155" s="9" t="n">
        <v>25738.96</v>
      </c>
      <c r="W155" s="6" t="inlineStr">
        <is>
          <t>2024-09</t>
        </is>
      </c>
    </row>
    <row r="156">
      <c r="A156" s="2" t="inlineStr">
        <is>
          <t>C157</t>
        </is>
      </c>
      <c r="B156" s="2" t="inlineStr">
        <is>
          <t>YouTube Pre-Roll</t>
        </is>
      </c>
      <c r="C156" s="2" t="inlineStr">
        <is>
          <t>Product Launch</t>
        </is>
      </c>
      <c r="D156" s="2" t="inlineStr">
        <is>
          <t>Facebook</t>
        </is>
      </c>
      <c r="E156" s="2" t="inlineStr">
        <is>
          <t>2024-10-08</t>
        </is>
      </c>
      <c r="F156" s="2" t="inlineStr">
        <is>
          <t>2024-11-14</t>
        </is>
      </c>
      <c r="G156" s="2" t="inlineStr">
        <is>
          <t>Central</t>
        </is>
      </c>
      <c r="H156" s="2" t="inlineStr">
        <is>
          <t>35-44</t>
        </is>
      </c>
      <c r="I156" s="3" t="n">
        <v>278534</v>
      </c>
      <c r="J156" s="3" t="n">
        <v>12589</v>
      </c>
      <c r="K156" s="4" t="n">
        <v>4.52</v>
      </c>
      <c r="L156" s="3" t="n">
        <v>707</v>
      </c>
      <c r="M156" s="3" t="n">
        <v>477</v>
      </c>
      <c r="N156" s="4" t="n">
        <v>3.79</v>
      </c>
      <c r="O156" s="5" t="n">
        <v>66938.86</v>
      </c>
      <c r="P156" s="5" t="n">
        <v>169352.28</v>
      </c>
      <c r="Q156" s="4" t="n">
        <v>153</v>
      </c>
      <c r="R156" s="5" t="n">
        <v>5.32</v>
      </c>
      <c r="S156" s="5" t="n">
        <v>240.33</v>
      </c>
      <c r="T156" s="5" t="n">
        <v>140.33</v>
      </c>
      <c r="U156" s="3" t="n">
        <v>37</v>
      </c>
      <c r="V156" s="5" t="n">
        <v>102413.42</v>
      </c>
      <c r="W156" s="2" t="inlineStr">
        <is>
          <t>2024-10</t>
        </is>
      </c>
    </row>
    <row r="157">
      <c r="A157" s="6" t="inlineStr">
        <is>
          <t>C159</t>
        </is>
      </c>
      <c r="B157" s="6" t="inlineStr">
        <is>
          <t>Win-Back Campaign</t>
        </is>
      </c>
      <c r="C157" s="6" t="inlineStr">
        <is>
          <t>Product Launch</t>
        </is>
      </c>
      <c r="D157" s="6" t="inlineStr">
        <is>
          <t>Email</t>
        </is>
      </c>
      <c r="E157" s="6" t="inlineStr">
        <is>
          <t>2024-09-07</t>
        </is>
      </c>
      <c r="F157" s="6" t="inlineStr">
        <is>
          <t>2024-09-19</t>
        </is>
      </c>
      <c r="G157" s="6" t="inlineStr">
        <is>
          <t>North</t>
        </is>
      </c>
      <c r="H157" s="6" t="inlineStr">
        <is>
          <t>25-34</t>
        </is>
      </c>
      <c r="I157" s="7" t="n">
        <v>43447</v>
      </c>
      <c r="J157" s="7" t="n">
        <v>8259</v>
      </c>
      <c r="K157" s="8" t="n">
        <v>19.01</v>
      </c>
      <c r="L157" s="7" t="n">
        <v>741</v>
      </c>
      <c r="M157" s="7" t="n">
        <v>541</v>
      </c>
      <c r="N157" s="8" t="n">
        <v>6.55</v>
      </c>
      <c r="O157" s="9" t="n">
        <v>18290.37</v>
      </c>
      <c r="P157" s="9" t="n">
        <v>22653.87</v>
      </c>
      <c r="Q157" s="8" t="n">
        <v>23.86</v>
      </c>
      <c r="R157" s="9" t="n">
        <v>2.21</v>
      </c>
      <c r="S157" s="9" t="n">
        <v>420.98</v>
      </c>
      <c r="T157" s="9" t="n">
        <v>33.81</v>
      </c>
      <c r="U157" s="7" t="n">
        <v>12</v>
      </c>
      <c r="V157" s="9" t="n">
        <v>4363.5</v>
      </c>
      <c r="W157" s="6" t="inlineStr">
        <is>
          <t>2024-09</t>
        </is>
      </c>
    </row>
    <row r="158">
      <c r="A158" s="2" t="inlineStr">
        <is>
          <t>C160</t>
        </is>
      </c>
      <c r="B158" s="2" t="inlineStr">
        <is>
          <t>Product Demo Push</t>
        </is>
      </c>
      <c r="C158" s="2" t="inlineStr">
        <is>
          <t>Retargeting</t>
        </is>
      </c>
      <c r="D158" s="2" t="inlineStr">
        <is>
          <t>LinkedIn</t>
        </is>
      </c>
      <c r="E158" s="2" t="inlineStr">
        <is>
          <t>2024-01-02</t>
        </is>
      </c>
      <c r="F158" s="2" t="inlineStr">
        <is>
          <t>2024-01-22</t>
        </is>
      </c>
      <c r="G158" s="2" t="inlineStr">
        <is>
          <t>North</t>
        </is>
      </c>
      <c r="H158" s="2" t="inlineStr">
        <is>
          <t>45-54</t>
        </is>
      </c>
      <c r="I158" s="3" t="n">
        <v>57900</v>
      </c>
      <c r="J158" s="3" t="n">
        <v>1100</v>
      </c>
      <c r="K158" s="4" t="n">
        <v>1.9</v>
      </c>
      <c r="L158" s="3" t="n">
        <v>118</v>
      </c>
      <c r="M158" s="3" t="n">
        <v>56</v>
      </c>
      <c r="N158" s="4" t="n">
        <v>5.09</v>
      </c>
      <c r="O158" s="5" t="n">
        <v>229783.42</v>
      </c>
      <c r="P158" s="5" t="n">
        <v>768165.6800000001</v>
      </c>
      <c r="Q158" s="4" t="n">
        <v>234.3</v>
      </c>
      <c r="R158" s="5" t="n">
        <v>208.89</v>
      </c>
      <c r="S158" s="5" t="n">
        <v>3968.63</v>
      </c>
      <c r="T158" s="5" t="n">
        <v>4103.28</v>
      </c>
      <c r="U158" s="3" t="n">
        <v>20</v>
      </c>
      <c r="V158" s="5" t="n">
        <v>538382.26</v>
      </c>
      <c r="W158" s="2" t="inlineStr">
        <is>
          <t>2024-01</t>
        </is>
      </c>
    </row>
    <row r="159">
      <c r="A159" s="6" t="inlineStr">
        <is>
          <t>C161</t>
        </is>
      </c>
      <c r="B159" s="6" t="inlineStr">
        <is>
          <t>YouTube Pre-Roll</t>
        </is>
      </c>
      <c r="C159" s="6" t="inlineStr">
        <is>
          <t>Product Launch</t>
        </is>
      </c>
      <c r="D159" s="6" t="inlineStr">
        <is>
          <t>Google Ads</t>
        </is>
      </c>
      <c r="E159" s="6" t="inlineStr">
        <is>
          <t>2024-04-02</t>
        </is>
      </c>
      <c r="F159" s="6" t="inlineStr">
        <is>
          <t>2024-04-17</t>
        </is>
      </c>
      <c r="G159" s="6" t="inlineStr">
        <is>
          <t>North</t>
        </is>
      </c>
      <c r="H159" s="6" t="inlineStr">
        <is>
          <t>35-44</t>
        </is>
      </c>
      <c r="I159" s="7" t="n">
        <v>160195</v>
      </c>
      <c r="J159" s="7" t="n">
        <v>9611</v>
      </c>
      <c r="K159" s="8" t="n">
        <v>6</v>
      </c>
      <c r="L159" s="7" t="n">
        <v>1021</v>
      </c>
      <c r="M159" s="7" t="n">
        <v>573</v>
      </c>
      <c r="N159" s="8" t="n">
        <v>5.96</v>
      </c>
      <c r="O159" s="9" t="n">
        <v>85028.14999999999</v>
      </c>
      <c r="P159" s="9" t="n">
        <v>232854.08</v>
      </c>
      <c r="Q159" s="8" t="n">
        <v>173.86</v>
      </c>
      <c r="R159" s="9" t="n">
        <v>8.85</v>
      </c>
      <c r="S159" s="9" t="n">
        <v>530.78</v>
      </c>
      <c r="T159" s="9" t="n">
        <v>148.39</v>
      </c>
      <c r="U159" s="7" t="n">
        <v>15</v>
      </c>
      <c r="V159" s="9" t="n">
        <v>147825.93</v>
      </c>
      <c r="W159" s="6" t="inlineStr">
        <is>
          <t>2024-04</t>
        </is>
      </c>
    </row>
    <row r="160">
      <c r="A160" s="2" t="inlineStr">
        <is>
          <t>C162</t>
        </is>
      </c>
      <c r="B160" s="2" t="inlineStr">
        <is>
          <t>New Year Kickoff</t>
        </is>
      </c>
      <c r="C160" s="2" t="inlineStr">
        <is>
          <t>Seasonal Sale</t>
        </is>
      </c>
      <c r="D160" s="2" t="inlineStr">
        <is>
          <t>YouTube</t>
        </is>
      </c>
      <c r="E160" s="2" t="inlineStr">
        <is>
          <t>2024-04-01</t>
        </is>
      </c>
      <c r="F160" s="2" t="inlineStr">
        <is>
          <t>2024-05-12</t>
        </is>
      </c>
      <c r="G160" s="2" t="inlineStr">
        <is>
          <t>South</t>
        </is>
      </c>
      <c r="H160" s="2" t="inlineStr">
        <is>
          <t>35-44</t>
        </is>
      </c>
      <c r="I160" s="3" t="n">
        <v>612151</v>
      </c>
      <c r="J160" s="3" t="n">
        <v>10284</v>
      </c>
      <c r="K160" s="4" t="n">
        <v>1.68</v>
      </c>
      <c r="L160" s="3" t="n">
        <v>406</v>
      </c>
      <c r="M160" s="3" t="n">
        <v>273</v>
      </c>
      <c r="N160" s="4" t="n">
        <v>2.65</v>
      </c>
      <c r="O160" s="5" t="n">
        <v>67151.56</v>
      </c>
      <c r="P160" s="5" t="n">
        <v>231563.94</v>
      </c>
      <c r="Q160" s="4" t="n">
        <v>244.84</v>
      </c>
      <c r="R160" s="5" t="n">
        <v>6.53</v>
      </c>
      <c r="S160" s="5" t="n">
        <v>109.7</v>
      </c>
      <c r="T160" s="5" t="n">
        <v>245.98</v>
      </c>
      <c r="U160" s="3" t="n">
        <v>41</v>
      </c>
      <c r="V160" s="5" t="n">
        <v>164412.38</v>
      </c>
      <c r="W160" s="2" t="inlineStr">
        <is>
          <t>2024-04</t>
        </is>
      </c>
    </row>
    <row r="161">
      <c r="A161" s="6" t="inlineStr">
        <is>
          <t>C163</t>
        </is>
      </c>
      <c r="B161" s="6" t="inlineStr">
        <is>
          <t>LinkedIn B2B Push</t>
        </is>
      </c>
      <c r="C161" s="6" t="inlineStr">
        <is>
          <t>Seasonal Sale</t>
        </is>
      </c>
      <c r="D161" s="6" t="inlineStr">
        <is>
          <t>LinkedIn</t>
        </is>
      </c>
      <c r="E161" s="6" t="inlineStr">
        <is>
          <t>2024-04-27</t>
        </is>
      </c>
      <c r="F161" s="6" t="inlineStr">
        <is>
          <t>2024-05-19</t>
        </is>
      </c>
      <c r="G161" s="6" t="inlineStr">
        <is>
          <t>West</t>
        </is>
      </c>
      <c r="H161" s="6" t="inlineStr">
        <is>
          <t>55+</t>
        </is>
      </c>
      <c r="I161" s="7" t="n">
        <v>50187</v>
      </c>
      <c r="J161" s="7" t="n">
        <v>1224</v>
      </c>
      <c r="K161" s="8" t="n">
        <v>2.44</v>
      </c>
      <c r="L161" s="7" t="n">
        <v>128</v>
      </c>
      <c r="M161" s="7" t="n">
        <v>53</v>
      </c>
      <c r="N161" s="8" t="n">
        <v>4.33</v>
      </c>
      <c r="O161" s="9" t="n">
        <v>64690.35</v>
      </c>
      <c r="P161" s="9" t="n">
        <v>173659.59</v>
      </c>
      <c r="Q161" s="8" t="n">
        <v>168.45</v>
      </c>
      <c r="R161" s="9" t="n">
        <v>52.85</v>
      </c>
      <c r="S161" s="9" t="n">
        <v>1288.99</v>
      </c>
      <c r="T161" s="9" t="n">
        <v>1220.57</v>
      </c>
      <c r="U161" s="7" t="n">
        <v>22</v>
      </c>
      <c r="V161" s="9" t="n">
        <v>108969.24</v>
      </c>
      <c r="W161" s="6" t="inlineStr">
        <is>
          <t>2024-04</t>
        </is>
      </c>
    </row>
    <row r="162">
      <c r="A162" s="2" t="inlineStr">
        <is>
          <t>C164</t>
        </is>
      </c>
      <c r="B162" s="2" t="inlineStr">
        <is>
          <t>Festive Season Blitz</t>
        </is>
      </c>
      <c r="C162" s="2" t="inlineStr">
        <is>
          <t>Brand Awareness</t>
        </is>
      </c>
      <c r="D162" s="2" t="inlineStr">
        <is>
          <t>Email</t>
        </is>
      </c>
      <c r="E162" s="2" t="inlineStr">
        <is>
          <t>2024-02-21</t>
        </is>
      </c>
      <c r="F162" s="2" t="inlineStr">
        <is>
          <t>2024-04-06</t>
        </is>
      </c>
      <c r="G162" s="2" t="inlineStr">
        <is>
          <t>South</t>
        </is>
      </c>
      <c r="H162" s="2" t="inlineStr">
        <is>
          <t>25-34</t>
        </is>
      </c>
      <c r="I162" s="3" t="n">
        <v>12200</v>
      </c>
      <c r="J162" s="3" t="n">
        <v>2321</v>
      </c>
      <c r="K162" s="4" t="n">
        <v>19.02</v>
      </c>
      <c r="L162" s="3" t="n">
        <v>688</v>
      </c>
      <c r="M162" s="3" t="n">
        <v>295</v>
      </c>
      <c r="N162" s="4" t="n">
        <v>12.71</v>
      </c>
      <c r="O162" s="5" t="n">
        <v>14271.64</v>
      </c>
      <c r="P162" s="5" t="n">
        <v>29477.17</v>
      </c>
      <c r="Q162" s="4" t="n">
        <v>106.54</v>
      </c>
      <c r="R162" s="5" t="n">
        <v>6.15</v>
      </c>
      <c r="S162" s="5" t="n">
        <v>1169.81</v>
      </c>
      <c r="T162" s="5" t="n">
        <v>48.38</v>
      </c>
      <c r="U162" s="3" t="n">
        <v>45</v>
      </c>
      <c r="V162" s="5" t="n">
        <v>15205.53</v>
      </c>
      <c r="W162" s="2" t="inlineStr">
        <is>
          <t>2024-02</t>
        </is>
      </c>
    </row>
    <row r="163">
      <c r="A163" s="6" t="inlineStr">
        <is>
          <t>C165</t>
        </is>
      </c>
      <c r="B163" s="6" t="inlineStr">
        <is>
          <t>Brand Launch 2024</t>
        </is>
      </c>
      <c r="C163" s="6" t="inlineStr">
        <is>
          <t>Seasonal Sale</t>
        </is>
      </c>
      <c r="D163" s="6" t="inlineStr">
        <is>
          <t>Facebook</t>
        </is>
      </c>
      <c r="E163" s="6" t="inlineStr">
        <is>
          <t>2024-09-14</t>
        </is>
      </c>
      <c r="F163" s="6" t="inlineStr">
        <is>
          <t>2024-10-09</t>
        </is>
      </c>
      <c r="G163" s="6" t="inlineStr">
        <is>
          <t>South</t>
        </is>
      </c>
      <c r="H163" s="6" t="inlineStr">
        <is>
          <t>18-24</t>
        </is>
      </c>
      <c r="I163" s="7" t="n">
        <v>141384</v>
      </c>
      <c r="J163" s="7" t="n">
        <v>7648</v>
      </c>
      <c r="K163" s="8" t="n">
        <v>5.41</v>
      </c>
      <c r="L163" s="7" t="n">
        <v>492</v>
      </c>
      <c r="M163" s="7" t="n">
        <v>305</v>
      </c>
      <c r="N163" s="8" t="n">
        <v>3.99</v>
      </c>
      <c r="O163" s="9" t="n">
        <v>120183.99</v>
      </c>
      <c r="P163" s="9" t="n">
        <v>368257.92</v>
      </c>
      <c r="Q163" s="8" t="n">
        <v>206.41</v>
      </c>
      <c r="R163" s="9" t="n">
        <v>15.71</v>
      </c>
      <c r="S163" s="9" t="n">
        <v>850.05</v>
      </c>
      <c r="T163" s="9" t="n">
        <v>394.05</v>
      </c>
      <c r="U163" s="7" t="n">
        <v>25</v>
      </c>
      <c r="V163" s="9" t="n">
        <v>248073.93</v>
      </c>
      <c r="W163" s="6" t="inlineStr">
        <is>
          <t>2024-09</t>
        </is>
      </c>
    </row>
    <row r="164">
      <c r="A164" s="2" t="inlineStr">
        <is>
          <t>C166</t>
        </is>
      </c>
      <c r="B164" s="2" t="inlineStr">
        <is>
          <t>Flash Sale Weekend</t>
        </is>
      </c>
      <c r="C164" s="2" t="inlineStr">
        <is>
          <t>Retargeting</t>
        </is>
      </c>
      <c r="D164" s="2" t="inlineStr">
        <is>
          <t>Facebook</t>
        </is>
      </c>
      <c r="E164" s="2" t="inlineStr">
        <is>
          <t>2024-07-30</t>
        </is>
      </c>
      <c r="F164" s="2" t="inlineStr">
        <is>
          <t>2024-08-25</t>
        </is>
      </c>
      <c r="G164" s="2" t="inlineStr">
        <is>
          <t>South</t>
        </is>
      </c>
      <c r="H164" s="2" t="inlineStr">
        <is>
          <t>55+</t>
        </is>
      </c>
      <c r="I164" s="3" t="n">
        <v>152129</v>
      </c>
      <c r="J164" s="3" t="n">
        <v>4563</v>
      </c>
      <c r="K164" s="4" t="n">
        <v>3</v>
      </c>
      <c r="L164" s="3" t="n">
        <v>496</v>
      </c>
      <c r="M164" s="3" t="n">
        <v>212</v>
      </c>
      <c r="N164" s="4" t="n">
        <v>4.65</v>
      </c>
      <c r="O164" s="5" t="n">
        <v>55623.79</v>
      </c>
      <c r="P164" s="5" t="n">
        <v>118216.21</v>
      </c>
      <c r="Q164" s="4" t="n">
        <v>112.53</v>
      </c>
      <c r="R164" s="5" t="n">
        <v>12.19</v>
      </c>
      <c r="S164" s="5" t="n">
        <v>365.64</v>
      </c>
      <c r="T164" s="5" t="n">
        <v>262.38</v>
      </c>
      <c r="U164" s="3" t="n">
        <v>26</v>
      </c>
      <c r="V164" s="5" t="n">
        <v>62592.42</v>
      </c>
      <c r="W164" s="2" t="inlineStr">
        <is>
          <t>2024-07</t>
        </is>
      </c>
    </row>
    <row r="165">
      <c r="A165" s="6" t="inlineStr">
        <is>
          <t>C167</t>
        </is>
      </c>
      <c r="B165" s="6" t="inlineStr">
        <is>
          <t>App Install Drive</t>
        </is>
      </c>
      <c r="C165" s="6" t="inlineStr">
        <is>
          <t>Brand Awareness</t>
        </is>
      </c>
      <c r="D165" s="6" t="inlineStr">
        <is>
          <t>LinkedIn</t>
        </is>
      </c>
      <c r="E165" s="6" t="inlineStr">
        <is>
          <t>2024-06-12</t>
        </is>
      </c>
      <c r="F165" s="6" t="inlineStr">
        <is>
          <t>2024-07-15</t>
        </is>
      </c>
      <c r="G165" s="6" t="inlineStr">
        <is>
          <t>East</t>
        </is>
      </c>
      <c r="H165" s="6" t="inlineStr">
        <is>
          <t>45-54</t>
        </is>
      </c>
      <c r="I165" s="7" t="n">
        <v>46755</v>
      </c>
      <c r="J165" s="7" t="n">
        <v>958</v>
      </c>
      <c r="K165" s="8" t="n">
        <v>2.05</v>
      </c>
      <c r="L165" s="7" t="n">
        <v>100</v>
      </c>
      <c r="M165" s="7" t="n">
        <v>46</v>
      </c>
      <c r="N165" s="8" t="n">
        <v>4.8</v>
      </c>
      <c r="O165" s="9" t="n">
        <v>156087.92</v>
      </c>
      <c r="P165" s="9" t="n">
        <v>256113.26</v>
      </c>
      <c r="Q165" s="8" t="n">
        <v>64.08</v>
      </c>
      <c r="R165" s="9" t="n">
        <v>162.93</v>
      </c>
      <c r="S165" s="9" t="n">
        <v>3338.42</v>
      </c>
      <c r="T165" s="9" t="n">
        <v>3393.22</v>
      </c>
      <c r="U165" s="7" t="n">
        <v>33</v>
      </c>
      <c r="V165" s="9" t="n">
        <v>100025.34</v>
      </c>
      <c r="W165" s="6" t="inlineStr">
        <is>
          <t>2024-06</t>
        </is>
      </c>
    </row>
    <row r="166">
      <c r="A166" s="2" t="inlineStr">
        <is>
          <t>C168</t>
        </is>
      </c>
      <c r="B166" s="2" t="inlineStr">
        <is>
          <t>Cross-Sell Upsell</t>
        </is>
      </c>
      <c r="C166" s="2" t="inlineStr">
        <is>
          <t>Lead Generation</t>
        </is>
      </c>
      <c r="D166" s="2" t="inlineStr">
        <is>
          <t>YouTube</t>
        </is>
      </c>
      <c r="E166" s="2" t="inlineStr">
        <is>
          <t>2024-07-30</t>
        </is>
      </c>
      <c r="F166" s="2" t="inlineStr">
        <is>
          <t>2024-09-01</t>
        </is>
      </c>
      <c r="G166" s="2" t="inlineStr">
        <is>
          <t>West</t>
        </is>
      </c>
      <c r="H166" s="2" t="inlineStr">
        <is>
          <t>18-24</t>
        </is>
      </c>
      <c r="I166" s="3" t="n">
        <v>784357</v>
      </c>
      <c r="J166" s="3" t="n">
        <v>13255</v>
      </c>
      <c r="K166" s="4" t="n">
        <v>1.69</v>
      </c>
      <c r="L166" s="3" t="n">
        <v>401</v>
      </c>
      <c r="M166" s="3" t="n">
        <v>262</v>
      </c>
      <c r="N166" s="4" t="n">
        <v>1.98</v>
      </c>
      <c r="O166" s="5" t="n">
        <v>155177.42</v>
      </c>
      <c r="P166" s="5" t="n">
        <v>514155.96</v>
      </c>
      <c r="Q166" s="4" t="n">
        <v>231.33</v>
      </c>
      <c r="R166" s="5" t="n">
        <v>11.71</v>
      </c>
      <c r="S166" s="5" t="n">
        <v>197.84</v>
      </c>
      <c r="T166" s="5" t="n">
        <v>592.28</v>
      </c>
      <c r="U166" s="3" t="n">
        <v>33</v>
      </c>
      <c r="V166" s="5" t="n">
        <v>358978.54</v>
      </c>
      <c r="W166" s="2" t="inlineStr">
        <is>
          <t>2024-07</t>
        </is>
      </c>
    </row>
    <row r="167">
      <c r="A167" s="6" t="inlineStr">
        <is>
          <t>C169</t>
        </is>
      </c>
      <c r="B167" s="6" t="inlineStr">
        <is>
          <t>Back to School Drive</t>
        </is>
      </c>
      <c r="C167" s="6" t="inlineStr">
        <is>
          <t>Brand Awareness</t>
        </is>
      </c>
      <c r="D167" s="6" t="inlineStr">
        <is>
          <t>Instagram</t>
        </is>
      </c>
      <c r="E167" s="6" t="inlineStr">
        <is>
          <t>2024-05-17</t>
        </is>
      </c>
      <c r="F167" s="6" t="inlineStr">
        <is>
          <t>2024-06-17</t>
        </is>
      </c>
      <c r="G167" s="6" t="inlineStr">
        <is>
          <t>Central</t>
        </is>
      </c>
      <c r="H167" s="6" t="inlineStr">
        <is>
          <t>25-34</t>
        </is>
      </c>
      <c r="I167" s="7" t="n">
        <v>120734</v>
      </c>
      <c r="J167" s="7" t="n">
        <v>5070</v>
      </c>
      <c r="K167" s="8" t="n">
        <v>4.2</v>
      </c>
      <c r="L167" s="7" t="n">
        <v>216</v>
      </c>
      <c r="M167" s="7" t="n">
        <v>99</v>
      </c>
      <c r="N167" s="8" t="n">
        <v>1.95</v>
      </c>
      <c r="O167" s="9" t="n">
        <v>87127.86</v>
      </c>
      <c r="P167" s="9" t="n">
        <v>139520.79</v>
      </c>
      <c r="Q167" s="8" t="n">
        <v>60.13</v>
      </c>
      <c r="R167" s="9" t="n">
        <v>17.18</v>
      </c>
      <c r="S167" s="9" t="n">
        <v>721.65</v>
      </c>
      <c r="T167" s="9" t="n">
        <v>880.08</v>
      </c>
      <c r="U167" s="7" t="n">
        <v>31</v>
      </c>
      <c r="V167" s="9" t="n">
        <v>52392.93</v>
      </c>
      <c r="W167" s="6" t="inlineStr">
        <is>
          <t>2024-05</t>
        </is>
      </c>
    </row>
    <row r="168">
      <c r="A168" s="2" t="inlineStr">
        <is>
          <t>C170</t>
        </is>
      </c>
      <c r="B168" s="2" t="inlineStr">
        <is>
          <t>Retarget Lost Carts</t>
        </is>
      </c>
      <c r="C168" s="2" t="inlineStr">
        <is>
          <t>Retargeting</t>
        </is>
      </c>
      <c r="D168" s="2" t="inlineStr">
        <is>
          <t>Instagram</t>
        </is>
      </c>
      <c r="E168" s="2" t="inlineStr">
        <is>
          <t>2024-03-01</t>
        </is>
      </c>
      <c r="F168" s="2" t="inlineStr">
        <is>
          <t>2024-04-07</t>
        </is>
      </c>
      <c r="G168" s="2" t="inlineStr">
        <is>
          <t>North</t>
        </is>
      </c>
      <c r="H168" s="2" t="inlineStr">
        <is>
          <t>25-34</t>
        </is>
      </c>
      <c r="I168" s="3" t="n">
        <v>227188</v>
      </c>
      <c r="J168" s="3" t="n">
        <v>8564</v>
      </c>
      <c r="K168" s="4" t="n">
        <v>3.77</v>
      </c>
      <c r="L168" s="3" t="n">
        <v>478</v>
      </c>
      <c r="M168" s="3" t="n">
        <v>279</v>
      </c>
      <c r="N168" s="4" t="n">
        <v>3.26</v>
      </c>
      <c r="O168" s="5" t="n">
        <v>57543.26</v>
      </c>
      <c r="P168" s="5" t="n">
        <v>170399.02</v>
      </c>
      <c r="Q168" s="4" t="n">
        <v>196.12</v>
      </c>
      <c r="R168" s="5" t="n">
        <v>6.72</v>
      </c>
      <c r="S168" s="5" t="n">
        <v>253.28</v>
      </c>
      <c r="T168" s="5" t="n">
        <v>206.25</v>
      </c>
      <c r="U168" s="3" t="n">
        <v>37</v>
      </c>
      <c r="V168" s="5" t="n">
        <v>112855.76</v>
      </c>
      <c r="W168" s="2" t="inlineStr">
        <is>
          <t>2024-03</t>
        </is>
      </c>
    </row>
    <row r="169">
      <c r="A169" s="6" t="inlineStr">
        <is>
          <t>C171</t>
        </is>
      </c>
      <c r="B169" s="6" t="inlineStr">
        <is>
          <t>Loyalty Rewards Campaign</t>
        </is>
      </c>
      <c r="C169" s="6" t="inlineStr">
        <is>
          <t>Product Launch</t>
        </is>
      </c>
      <c r="D169" s="6" t="inlineStr">
        <is>
          <t>LinkedIn</t>
        </is>
      </c>
      <c r="E169" s="6" t="inlineStr">
        <is>
          <t>2024-05-13</t>
        </is>
      </c>
      <c r="F169" s="6" t="inlineStr">
        <is>
          <t>2024-06-12</t>
        </is>
      </c>
      <c r="G169" s="6" t="inlineStr">
        <is>
          <t>Central</t>
        </is>
      </c>
      <c r="H169" s="6" t="inlineStr">
        <is>
          <t>35-44</t>
        </is>
      </c>
      <c r="I169" s="7" t="n">
        <v>53607</v>
      </c>
      <c r="J169" s="7" t="n">
        <v>1886</v>
      </c>
      <c r="K169" s="8" t="n">
        <v>3.52</v>
      </c>
      <c r="L169" s="7" t="n">
        <v>224</v>
      </c>
      <c r="M169" s="7" t="n">
        <v>100</v>
      </c>
      <c r="N169" s="8" t="n">
        <v>5.3</v>
      </c>
      <c r="O169" s="9" t="n">
        <v>191186.47</v>
      </c>
      <c r="P169" s="9" t="n">
        <v>357243.37</v>
      </c>
      <c r="Q169" s="8" t="n">
        <v>86.86</v>
      </c>
      <c r="R169" s="9" t="n">
        <v>101.37</v>
      </c>
      <c r="S169" s="9" t="n">
        <v>3566.45</v>
      </c>
      <c r="T169" s="9" t="n">
        <v>1911.86</v>
      </c>
      <c r="U169" s="7" t="n">
        <v>30</v>
      </c>
      <c r="V169" s="9" t="n">
        <v>166056.9</v>
      </c>
      <c r="W169" s="6" t="inlineStr">
        <is>
          <t>2024-05</t>
        </is>
      </c>
    </row>
    <row r="170">
      <c r="A170" s="2" t="inlineStr">
        <is>
          <t>C172</t>
        </is>
      </c>
      <c r="B170" s="2" t="inlineStr">
        <is>
          <t>Back to School Drive</t>
        </is>
      </c>
      <c r="C170" s="2" t="inlineStr">
        <is>
          <t>Retargeting</t>
        </is>
      </c>
      <c r="D170" s="2" t="inlineStr">
        <is>
          <t>Facebook</t>
        </is>
      </c>
      <c r="E170" s="2" t="inlineStr">
        <is>
          <t>2024-10-15</t>
        </is>
      </c>
      <c r="F170" s="2" t="inlineStr">
        <is>
          <t>2024-11-05</t>
        </is>
      </c>
      <c r="G170" s="2" t="inlineStr">
        <is>
          <t>East</t>
        </is>
      </c>
      <c r="H170" s="2" t="inlineStr">
        <is>
          <t>45-54</t>
        </is>
      </c>
      <c r="I170" s="3" t="n">
        <v>274314</v>
      </c>
      <c r="J170" s="3" t="n">
        <v>8970</v>
      </c>
      <c r="K170" s="4" t="n">
        <v>3.27</v>
      </c>
      <c r="L170" s="3" t="n">
        <v>557</v>
      </c>
      <c r="M170" s="3" t="n">
        <v>231</v>
      </c>
      <c r="N170" s="4" t="n">
        <v>2.58</v>
      </c>
      <c r="O170" s="5" t="n">
        <v>115229.5</v>
      </c>
      <c r="P170" s="5" t="n">
        <v>208388.11</v>
      </c>
      <c r="Q170" s="4" t="n">
        <v>80.84999999999999</v>
      </c>
      <c r="R170" s="5" t="n">
        <v>12.85</v>
      </c>
      <c r="S170" s="5" t="n">
        <v>420.06</v>
      </c>
      <c r="T170" s="5" t="n">
        <v>498.83</v>
      </c>
      <c r="U170" s="3" t="n">
        <v>21</v>
      </c>
      <c r="V170" s="5" t="n">
        <v>93158.61</v>
      </c>
      <c r="W170" s="2" t="inlineStr">
        <is>
          <t>2024-10</t>
        </is>
      </c>
    </row>
    <row r="171">
      <c r="A171" s="6" t="inlineStr">
        <is>
          <t>C173</t>
        </is>
      </c>
      <c r="B171" s="6" t="inlineStr">
        <is>
          <t>Win-Back Campaign</t>
        </is>
      </c>
      <c r="C171" s="6" t="inlineStr">
        <is>
          <t>Retargeting</t>
        </is>
      </c>
      <c r="D171" s="6" t="inlineStr">
        <is>
          <t>Facebook</t>
        </is>
      </c>
      <c r="E171" s="6" t="inlineStr">
        <is>
          <t>2024-05-05</t>
        </is>
      </c>
      <c r="F171" s="6" t="inlineStr">
        <is>
          <t>2024-06-12</t>
        </is>
      </c>
      <c r="G171" s="6" t="inlineStr">
        <is>
          <t>South</t>
        </is>
      </c>
      <c r="H171" s="6" t="inlineStr">
        <is>
          <t>45-54</t>
        </is>
      </c>
      <c r="I171" s="7" t="n">
        <v>224347</v>
      </c>
      <c r="J171" s="7" t="n">
        <v>10970</v>
      </c>
      <c r="K171" s="8" t="n">
        <v>4.89</v>
      </c>
      <c r="L171" s="7" t="n">
        <v>647</v>
      </c>
      <c r="M171" s="7" t="n">
        <v>422</v>
      </c>
      <c r="N171" s="8" t="n">
        <v>3.85</v>
      </c>
      <c r="O171" s="9" t="n">
        <v>111592.92</v>
      </c>
      <c r="P171" s="9" t="n">
        <v>294612.75</v>
      </c>
      <c r="Q171" s="8" t="n">
        <v>164.01</v>
      </c>
      <c r="R171" s="9" t="n">
        <v>10.17</v>
      </c>
      <c r="S171" s="9" t="n">
        <v>497.41</v>
      </c>
      <c r="T171" s="9" t="n">
        <v>264.44</v>
      </c>
      <c r="U171" s="7" t="n">
        <v>38</v>
      </c>
      <c r="V171" s="9" t="n">
        <v>183019.83</v>
      </c>
      <c r="W171" s="6" t="inlineStr">
        <is>
          <t>2024-05</t>
        </is>
      </c>
    </row>
    <row r="172">
      <c r="A172" s="2" t="inlineStr">
        <is>
          <t>C174</t>
        </is>
      </c>
      <c r="B172" s="2" t="inlineStr">
        <is>
          <t>Lead Gen Q1</t>
        </is>
      </c>
      <c r="C172" s="2" t="inlineStr">
        <is>
          <t>Product Launch</t>
        </is>
      </c>
      <c r="D172" s="2" t="inlineStr">
        <is>
          <t>LinkedIn</t>
        </is>
      </c>
      <c r="E172" s="2" t="inlineStr">
        <is>
          <t>2024-03-12</t>
        </is>
      </c>
      <c r="F172" s="2" t="inlineStr">
        <is>
          <t>2024-04-22</t>
        </is>
      </c>
      <c r="G172" s="2" t="inlineStr">
        <is>
          <t>South</t>
        </is>
      </c>
      <c r="H172" s="2" t="inlineStr">
        <is>
          <t>35-44</t>
        </is>
      </c>
      <c r="I172" s="3" t="n">
        <v>52002</v>
      </c>
      <c r="J172" s="3" t="n">
        <v>1102</v>
      </c>
      <c r="K172" s="4" t="n">
        <v>2.12</v>
      </c>
      <c r="L172" s="3" t="n">
        <v>203</v>
      </c>
      <c r="M172" s="3" t="n">
        <v>82</v>
      </c>
      <c r="N172" s="4" t="n">
        <v>7.44</v>
      </c>
      <c r="O172" s="5" t="n">
        <v>66022.35000000001</v>
      </c>
      <c r="P172" s="5" t="n">
        <v>205578.04</v>
      </c>
      <c r="Q172" s="4" t="n">
        <v>211.38</v>
      </c>
      <c r="R172" s="5" t="n">
        <v>59.91</v>
      </c>
      <c r="S172" s="5" t="n">
        <v>1269.61</v>
      </c>
      <c r="T172" s="5" t="n">
        <v>805.15</v>
      </c>
      <c r="U172" s="3" t="n">
        <v>41</v>
      </c>
      <c r="V172" s="5" t="n">
        <v>139555.69</v>
      </c>
      <c r="W172" s="2" t="inlineStr">
        <is>
          <t>2024-03</t>
        </is>
      </c>
    </row>
    <row r="173">
      <c r="A173" s="6" t="inlineStr">
        <is>
          <t>C175</t>
        </is>
      </c>
      <c r="B173" s="6" t="inlineStr">
        <is>
          <t>Brand Launch 2024</t>
        </is>
      </c>
      <c r="C173" s="6" t="inlineStr">
        <is>
          <t>Brand Awareness</t>
        </is>
      </c>
      <c r="D173" s="6" t="inlineStr">
        <is>
          <t>Google Ads</t>
        </is>
      </c>
      <c r="E173" s="6" t="inlineStr">
        <is>
          <t>2024-04-28</t>
        </is>
      </c>
      <c r="F173" s="6" t="inlineStr">
        <is>
          <t>2024-05-09</t>
        </is>
      </c>
      <c r="G173" s="6" t="inlineStr">
        <is>
          <t>North</t>
        </is>
      </c>
      <c r="H173" s="6" t="inlineStr">
        <is>
          <t>45-54</t>
        </is>
      </c>
      <c r="I173" s="7" t="n">
        <v>89591</v>
      </c>
      <c r="J173" s="7" t="n">
        <v>3798</v>
      </c>
      <c r="K173" s="8" t="n">
        <v>4.24</v>
      </c>
      <c r="L173" s="7" t="n">
        <v>281</v>
      </c>
      <c r="M173" s="7" t="n">
        <v>167</v>
      </c>
      <c r="N173" s="8" t="n">
        <v>4.4</v>
      </c>
      <c r="O173" s="9" t="n">
        <v>127644.96</v>
      </c>
      <c r="P173" s="9" t="n">
        <v>426508.9</v>
      </c>
      <c r="Q173" s="8" t="n">
        <v>234.14</v>
      </c>
      <c r="R173" s="9" t="n">
        <v>33.61</v>
      </c>
      <c r="S173" s="9" t="n">
        <v>1424.75</v>
      </c>
      <c r="T173" s="9" t="n">
        <v>764.34</v>
      </c>
      <c r="U173" s="7" t="n">
        <v>11</v>
      </c>
      <c r="V173" s="9" t="n">
        <v>298863.94</v>
      </c>
      <c r="W173" s="6" t="inlineStr">
        <is>
          <t>2024-04</t>
        </is>
      </c>
    </row>
    <row r="174">
      <c r="A174" s="2" t="inlineStr">
        <is>
          <t>C176</t>
        </is>
      </c>
      <c r="B174" s="2" t="inlineStr">
        <is>
          <t>Cross-Sell Upsell</t>
        </is>
      </c>
      <c r="C174" s="2" t="inlineStr">
        <is>
          <t>Product Launch</t>
        </is>
      </c>
      <c r="D174" s="2" t="inlineStr">
        <is>
          <t>LinkedIn</t>
        </is>
      </c>
      <c r="E174" s="2" t="inlineStr">
        <is>
          <t>2024-10-09</t>
        </is>
      </c>
      <c r="F174" s="2" t="inlineStr">
        <is>
          <t>2024-11-11</t>
        </is>
      </c>
      <c r="G174" s="2" t="inlineStr">
        <is>
          <t>North</t>
        </is>
      </c>
      <c r="H174" s="2" t="inlineStr">
        <is>
          <t>18-24</t>
        </is>
      </c>
      <c r="I174" s="3" t="n">
        <v>20776</v>
      </c>
      <c r="J174" s="3" t="n">
        <v>369</v>
      </c>
      <c r="K174" s="4" t="n">
        <v>1.78</v>
      </c>
      <c r="L174" s="3" t="n">
        <v>45</v>
      </c>
      <c r="M174" s="3" t="n">
        <v>24</v>
      </c>
      <c r="N174" s="4" t="n">
        <v>6.5</v>
      </c>
      <c r="O174" s="5" t="n">
        <v>100980.58</v>
      </c>
      <c r="P174" s="5" t="n">
        <v>308150.05</v>
      </c>
      <c r="Q174" s="4" t="n">
        <v>205.16</v>
      </c>
      <c r="R174" s="5" t="n">
        <v>273.66</v>
      </c>
      <c r="S174" s="5" t="n">
        <v>4860.44</v>
      </c>
      <c r="T174" s="5" t="n">
        <v>4207.52</v>
      </c>
      <c r="U174" s="3" t="n">
        <v>33</v>
      </c>
      <c r="V174" s="5" t="n">
        <v>207169.47</v>
      </c>
      <c r="W174" s="2" t="inlineStr">
        <is>
          <t>2024-10</t>
        </is>
      </c>
    </row>
    <row r="175">
      <c r="A175" s="6" t="inlineStr">
        <is>
          <t>C177</t>
        </is>
      </c>
      <c r="B175" s="6" t="inlineStr">
        <is>
          <t>New Year Kickoff</t>
        </is>
      </c>
      <c r="C175" s="6" t="inlineStr">
        <is>
          <t>Product Launch</t>
        </is>
      </c>
      <c r="D175" s="6" t="inlineStr">
        <is>
          <t>YouTube</t>
        </is>
      </c>
      <c r="E175" s="6" t="inlineStr">
        <is>
          <t>2024-09-25</t>
        </is>
      </c>
      <c r="F175" s="6" t="inlineStr">
        <is>
          <t>2024-10-11</t>
        </is>
      </c>
      <c r="G175" s="6" t="inlineStr">
        <is>
          <t>South</t>
        </is>
      </c>
      <c r="H175" s="6" t="inlineStr">
        <is>
          <t>18-24</t>
        </is>
      </c>
      <c r="I175" s="7" t="n">
        <v>452674</v>
      </c>
      <c r="J175" s="7" t="n">
        <v>5794</v>
      </c>
      <c r="K175" s="8" t="n">
        <v>1.28</v>
      </c>
      <c r="L175" s="7" t="n">
        <v>427.5</v>
      </c>
      <c r="M175" s="7" t="n">
        <v>130</v>
      </c>
      <c r="N175" s="8" t="n">
        <v>2.24</v>
      </c>
      <c r="O175" s="9" t="n">
        <v>145422.77</v>
      </c>
      <c r="P175" s="9" t="n">
        <v>187543.92</v>
      </c>
      <c r="Q175" s="8" t="n">
        <v>28.96</v>
      </c>
      <c r="R175" s="9" t="n">
        <v>25.1</v>
      </c>
      <c r="S175" s="9" t="n">
        <v>321.25</v>
      </c>
      <c r="T175" s="9" t="n">
        <v>1118.64</v>
      </c>
      <c r="U175" s="7" t="n">
        <v>16</v>
      </c>
      <c r="V175" s="9" t="n">
        <v>42121.15</v>
      </c>
      <c r="W175" s="6" t="inlineStr">
        <is>
          <t>2024-09</t>
        </is>
      </c>
    </row>
    <row r="176">
      <c r="A176" s="2" t="inlineStr">
        <is>
          <t>C178</t>
        </is>
      </c>
      <c r="B176" s="2" t="inlineStr">
        <is>
          <t>Flash Sale Weekend</t>
        </is>
      </c>
      <c r="C176" s="2" t="inlineStr">
        <is>
          <t>Product Launch</t>
        </is>
      </c>
      <c r="D176" s="2" t="inlineStr">
        <is>
          <t>LinkedIn</t>
        </is>
      </c>
      <c r="E176" s="2" t="inlineStr">
        <is>
          <t>2024-06-02</t>
        </is>
      </c>
      <c r="F176" s="2" t="inlineStr">
        <is>
          <t>2024-06-14</t>
        </is>
      </c>
      <c r="G176" s="2" t="inlineStr">
        <is>
          <t>Central</t>
        </is>
      </c>
      <c r="H176" s="2" t="inlineStr">
        <is>
          <t>25-34</t>
        </is>
      </c>
      <c r="I176" s="3" t="n">
        <v>62843</v>
      </c>
      <c r="J176" s="3" t="n">
        <v>2344</v>
      </c>
      <c r="K176" s="4" t="n">
        <v>3.73</v>
      </c>
      <c r="L176" s="3" t="n">
        <v>181</v>
      </c>
      <c r="M176" s="3" t="n">
        <v>146</v>
      </c>
      <c r="N176" s="4" t="n">
        <v>6.23</v>
      </c>
      <c r="O176" s="5" t="n">
        <v>148695.44</v>
      </c>
      <c r="P176" s="5" t="n">
        <v>360807.02</v>
      </c>
      <c r="Q176" s="4" t="n">
        <v>142.65</v>
      </c>
      <c r="R176" s="5" t="n">
        <v>63.44</v>
      </c>
      <c r="S176" s="5" t="n">
        <v>2366.14</v>
      </c>
      <c r="T176" s="5" t="n">
        <v>1018.46</v>
      </c>
      <c r="U176" s="3" t="n">
        <v>12</v>
      </c>
      <c r="V176" s="5" t="n">
        <v>212111.58</v>
      </c>
      <c r="W176" s="2" t="inlineStr">
        <is>
          <t>2024-06</t>
        </is>
      </c>
    </row>
    <row r="177">
      <c r="A177" s="6" t="inlineStr">
        <is>
          <t>C179</t>
        </is>
      </c>
      <c r="B177" s="6" t="inlineStr">
        <is>
          <t>Holiday Countdown</t>
        </is>
      </c>
      <c r="C177" s="6" t="inlineStr">
        <is>
          <t>Brand Awareness</t>
        </is>
      </c>
      <c r="D177" s="6" t="inlineStr">
        <is>
          <t>Google Ads</t>
        </is>
      </c>
      <c r="E177" s="6" t="inlineStr">
        <is>
          <t>2024-08-10</t>
        </is>
      </c>
      <c r="F177" s="6" t="inlineStr">
        <is>
          <t>2024-09-07</t>
        </is>
      </c>
      <c r="G177" s="6" t="inlineStr">
        <is>
          <t>South</t>
        </is>
      </c>
      <c r="H177" s="6" t="inlineStr">
        <is>
          <t>18-24</t>
        </is>
      </c>
      <c r="I177" s="7" t="n">
        <v>198335</v>
      </c>
      <c r="J177" s="7" t="n">
        <v>17631</v>
      </c>
      <c r="K177" s="8" t="n">
        <v>8.890000000000001</v>
      </c>
      <c r="L177" s="7" t="n">
        <v>2623</v>
      </c>
      <c r="M177" s="7" t="n">
        <v>1110</v>
      </c>
      <c r="N177" s="8" t="n">
        <v>6.3</v>
      </c>
      <c r="O177" s="9" t="n">
        <v>40650.43</v>
      </c>
      <c r="P177" s="9" t="n">
        <v>132644.59</v>
      </c>
      <c r="Q177" s="8" t="n">
        <v>226.31</v>
      </c>
      <c r="R177" s="9" t="n">
        <v>2.31</v>
      </c>
      <c r="S177" s="9" t="n">
        <v>204.96</v>
      </c>
      <c r="T177" s="9" t="n">
        <v>36.62</v>
      </c>
      <c r="U177" s="7" t="n">
        <v>28</v>
      </c>
      <c r="V177" s="9" t="n">
        <v>91994.16</v>
      </c>
      <c r="W177" s="6" t="inlineStr">
        <is>
          <t>2024-08</t>
        </is>
      </c>
    </row>
    <row r="178">
      <c r="A178" s="2" t="inlineStr">
        <is>
          <t>C180</t>
        </is>
      </c>
      <c r="B178" s="2" t="inlineStr">
        <is>
          <t>Back to School Drive</t>
        </is>
      </c>
      <c r="C178" s="2" t="inlineStr">
        <is>
          <t>Seasonal Sale</t>
        </is>
      </c>
      <c r="D178" s="2" t="inlineStr">
        <is>
          <t>YouTube</t>
        </is>
      </c>
      <c r="E178" s="2" t="inlineStr">
        <is>
          <t>2024-02-08</t>
        </is>
      </c>
      <c r="F178" s="2" t="inlineStr">
        <is>
          <t>2024-03-03</t>
        </is>
      </c>
      <c r="G178" s="2" t="inlineStr">
        <is>
          <t>West</t>
        </is>
      </c>
      <c r="H178" s="2" t="inlineStr">
        <is>
          <t>35-44</t>
        </is>
      </c>
      <c r="I178" s="3" t="n">
        <v>769408</v>
      </c>
      <c r="J178" s="3" t="n">
        <v>13310</v>
      </c>
      <c r="K178" s="4" t="n">
        <v>1.73</v>
      </c>
      <c r="L178" s="3" t="n">
        <v>406</v>
      </c>
      <c r="M178" s="3" t="n">
        <v>169</v>
      </c>
      <c r="N178" s="4" t="n">
        <v>1.27</v>
      </c>
      <c r="O178" s="5" t="n">
        <v>114844.14</v>
      </c>
      <c r="P178" s="5" t="n">
        <v>183426.7</v>
      </c>
      <c r="Q178" s="4" t="n">
        <v>59.72</v>
      </c>
      <c r="R178" s="5" t="n">
        <v>8.630000000000001</v>
      </c>
      <c r="S178" s="5" t="n">
        <v>149.26</v>
      </c>
      <c r="T178" s="5" t="n">
        <v>679.55</v>
      </c>
      <c r="U178" s="3" t="n">
        <v>24</v>
      </c>
      <c r="V178" s="5" t="n">
        <v>68582.56</v>
      </c>
      <c r="W178" s="2" t="inlineStr">
        <is>
          <t>2024-02</t>
        </is>
      </c>
    </row>
    <row r="179">
      <c r="A179" s="6" t="inlineStr">
        <is>
          <t>C181</t>
        </is>
      </c>
      <c r="B179" s="6" t="inlineStr">
        <is>
          <t>Lead Gen Q1</t>
        </is>
      </c>
      <c r="C179" s="6" t="inlineStr">
        <is>
          <t>Product Launch</t>
        </is>
      </c>
      <c r="D179" s="6" t="inlineStr">
        <is>
          <t>Facebook</t>
        </is>
      </c>
      <c r="E179" s="6" t="inlineStr">
        <is>
          <t>2024-10-15</t>
        </is>
      </c>
      <c r="F179" s="6" t="inlineStr">
        <is>
          <t>2024-11-06</t>
        </is>
      </c>
      <c r="G179" s="6" t="inlineStr">
        <is>
          <t>North</t>
        </is>
      </c>
      <c r="H179" s="6" t="inlineStr">
        <is>
          <t>35-44</t>
        </is>
      </c>
      <c r="I179" s="7" t="n">
        <v>228555</v>
      </c>
      <c r="J179" s="7" t="n">
        <v>12501</v>
      </c>
      <c r="K179" s="8" t="n">
        <v>5.47</v>
      </c>
      <c r="L179" s="7" t="n">
        <v>427.5</v>
      </c>
      <c r="M179" s="7" t="n">
        <v>371</v>
      </c>
      <c r="N179" s="8" t="n">
        <v>2.97</v>
      </c>
      <c r="O179" s="9" t="n">
        <v>70066.00999999999</v>
      </c>
      <c r="P179" s="9" t="n">
        <v>201466.99</v>
      </c>
      <c r="Q179" s="8" t="n">
        <v>187.54</v>
      </c>
      <c r="R179" s="9" t="n">
        <v>5.6</v>
      </c>
      <c r="S179" s="9" t="n">
        <v>306.56</v>
      </c>
      <c r="T179" s="9" t="n">
        <v>188.86</v>
      </c>
      <c r="U179" s="7" t="n">
        <v>22</v>
      </c>
      <c r="V179" s="9" t="n">
        <v>131400.98</v>
      </c>
      <c r="W179" s="6" t="inlineStr">
        <is>
          <t>2024-10</t>
        </is>
      </c>
    </row>
    <row r="180">
      <c r="A180" s="2" t="inlineStr">
        <is>
          <t>C182</t>
        </is>
      </c>
      <c r="B180" s="2" t="inlineStr">
        <is>
          <t>Back to School Drive</t>
        </is>
      </c>
      <c r="C180" s="2" t="inlineStr">
        <is>
          <t>Brand Awareness</t>
        </is>
      </c>
      <c r="D180" s="2" t="inlineStr">
        <is>
          <t>YouTube</t>
        </is>
      </c>
      <c r="E180" s="2" t="inlineStr">
        <is>
          <t>2024-02-20</t>
        </is>
      </c>
      <c r="F180" s="2" t="inlineStr">
        <is>
          <t>2024-03-25</t>
        </is>
      </c>
      <c r="G180" s="2" t="inlineStr">
        <is>
          <t>Central</t>
        </is>
      </c>
      <c r="H180" s="2" t="inlineStr">
        <is>
          <t>35-44</t>
        </is>
      </c>
      <c r="I180" s="3" t="n">
        <v>443420</v>
      </c>
      <c r="J180" s="3" t="n">
        <v>9134</v>
      </c>
      <c r="K180" s="4" t="n">
        <v>2.06</v>
      </c>
      <c r="L180" s="3" t="n">
        <v>376</v>
      </c>
      <c r="M180" s="3" t="n">
        <v>171</v>
      </c>
      <c r="N180" s="4" t="n">
        <v>1.87</v>
      </c>
      <c r="O180" s="5" t="n">
        <v>207204.57</v>
      </c>
      <c r="P180" s="5" t="n">
        <v>612606.9</v>
      </c>
      <c r="Q180" s="4" t="n">
        <v>195.65</v>
      </c>
      <c r="R180" s="5" t="n">
        <v>22.68</v>
      </c>
      <c r="S180" s="5" t="n">
        <v>467.29</v>
      </c>
      <c r="T180" s="5" t="n">
        <v>1211.72</v>
      </c>
      <c r="U180" s="3" t="n">
        <v>34</v>
      </c>
      <c r="V180" s="5" t="n">
        <v>405402.33</v>
      </c>
      <c r="W180" s="2" t="inlineStr">
        <is>
          <t>2024-02</t>
        </is>
      </c>
    </row>
    <row r="181">
      <c r="A181" s="6" t="inlineStr">
        <is>
          <t>C183</t>
        </is>
      </c>
      <c r="B181" s="6" t="inlineStr">
        <is>
          <t>Flash Sale Weekend</t>
        </is>
      </c>
      <c r="C181" s="6" t="inlineStr">
        <is>
          <t>Retargeting</t>
        </is>
      </c>
      <c r="D181" s="6" t="inlineStr">
        <is>
          <t>Google Ads</t>
        </is>
      </c>
      <c r="E181" s="6" t="inlineStr">
        <is>
          <t>2024-07-01</t>
        </is>
      </c>
      <c r="F181" s="6" t="inlineStr">
        <is>
          <t>2024-08-12</t>
        </is>
      </c>
      <c r="G181" s="6" t="inlineStr">
        <is>
          <t>West</t>
        </is>
      </c>
      <c r="H181" s="6" t="inlineStr">
        <is>
          <t>45-54</t>
        </is>
      </c>
      <c r="I181" s="7" t="n">
        <v>148415</v>
      </c>
      <c r="J181" s="7" t="n">
        <v>9305</v>
      </c>
      <c r="K181" s="8" t="n">
        <v>6.27</v>
      </c>
      <c r="L181" s="7" t="n">
        <v>980</v>
      </c>
      <c r="M181" s="7" t="n">
        <v>476</v>
      </c>
      <c r="N181" s="8" t="n">
        <v>5.12</v>
      </c>
      <c r="O181" s="9" t="n">
        <v>56809.47</v>
      </c>
      <c r="P181" s="9" t="n">
        <v>102763.26</v>
      </c>
      <c r="Q181" s="8" t="n">
        <v>80.89</v>
      </c>
      <c r="R181" s="9" t="n">
        <v>6.11</v>
      </c>
      <c r="S181" s="9" t="n">
        <v>382.77</v>
      </c>
      <c r="T181" s="9" t="n">
        <v>119.35</v>
      </c>
      <c r="U181" s="7" t="n">
        <v>42</v>
      </c>
      <c r="V181" s="9" t="n">
        <v>45953.79</v>
      </c>
      <c r="W181" s="6" t="inlineStr">
        <is>
          <t>2024-07</t>
        </is>
      </c>
    </row>
    <row r="182">
      <c r="A182" s="2" t="inlineStr">
        <is>
          <t>C184</t>
        </is>
      </c>
      <c r="B182" s="2" t="inlineStr">
        <is>
          <t>Brand Launch 2024</t>
        </is>
      </c>
      <c r="C182" s="2" t="inlineStr">
        <is>
          <t>Brand Awareness</t>
        </is>
      </c>
      <c r="D182" s="2" t="inlineStr">
        <is>
          <t>Facebook</t>
        </is>
      </c>
      <c r="E182" s="2" t="inlineStr">
        <is>
          <t>2024-07-13</t>
        </is>
      </c>
      <c r="F182" s="2" t="inlineStr">
        <is>
          <t>2024-07-29</t>
        </is>
      </c>
      <c r="G182" s="2" t="inlineStr">
        <is>
          <t>North</t>
        </is>
      </c>
      <c r="H182" s="2" t="inlineStr">
        <is>
          <t>35-44</t>
        </is>
      </c>
      <c r="I182" s="3" t="n">
        <v>273896</v>
      </c>
      <c r="J182" s="3" t="n">
        <v>11092</v>
      </c>
      <c r="K182" s="4" t="n">
        <v>4.05</v>
      </c>
      <c r="L182" s="3" t="n">
        <v>420</v>
      </c>
      <c r="M182" s="3" t="n">
        <v>319</v>
      </c>
      <c r="N182" s="4" t="n">
        <v>2.88</v>
      </c>
      <c r="O182" s="5" t="n">
        <v>68848.64999999999</v>
      </c>
      <c r="P182" s="5" t="n">
        <v>201535.94</v>
      </c>
      <c r="Q182" s="4" t="n">
        <v>192.72</v>
      </c>
      <c r="R182" s="5" t="n">
        <v>6.21</v>
      </c>
      <c r="S182" s="5" t="n">
        <v>251.37</v>
      </c>
      <c r="T182" s="5" t="n">
        <v>215.83</v>
      </c>
      <c r="U182" s="3" t="n">
        <v>16</v>
      </c>
      <c r="V182" s="5" t="n">
        <v>132687.29</v>
      </c>
      <c r="W182" s="2" t="inlineStr">
        <is>
          <t>2024-07</t>
        </is>
      </c>
    </row>
    <row r="183">
      <c r="A183" s="6" t="inlineStr">
        <is>
          <t>C185</t>
        </is>
      </c>
      <c r="B183" s="6" t="inlineStr">
        <is>
          <t>YouTube Pre-Roll</t>
        </is>
      </c>
      <c r="C183" s="6" t="inlineStr">
        <is>
          <t>Lead Generation</t>
        </is>
      </c>
      <c r="D183" s="6" t="inlineStr">
        <is>
          <t>Google Ads</t>
        </is>
      </c>
      <c r="E183" s="6" t="inlineStr">
        <is>
          <t>2024-08-17</t>
        </is>
      </c>
      <c r="F183" s="6" t="inlineStr">
        <is>
          <t>2024-09-28</t>
        </is>
      </c>
      <c r="G183" s="6" t="inlineStr">
        <is>
          <t>North</t>
        </is>
      </c>
      <c r="H183" s="6" t="inlineStr">
        <is>
          <t>25-34</t>
        </is>
      </c>
      <c r="I183" s="7" t="n">
        <v>195421</v>
      </c>
      <c r="J183" s="7" t="n">
        <v>13015</v>
      </c>
      <c r="K183" s="8" t="n">
        <v>6.66</v>
      </c>
      <c r="L183" s="7" t="n">
        <v>480</v>
      </c>
      <c r="M183" s="7" t="n">
        <v>365</v>
      </c>
      <c r="N183" s="8" t="n">
        <v>2.8</v>
      </c>
      <c r="O183" s="9" t="n">
        <v>94306.78</v>
      </c>
      <c r="P183" s="9" t="n">
        <v>239096.46</v>
      </c>
      <c r="Q183" s="8" t="n">
        <v>153.53</v>
      </c>
      <c r="R183" s="9" t="n">
        <v>7.25</v>
      </c>
      <c r="S183" s="9" t="n">
        <v>482.58</v>
      </c>
      <c r="T183" s="9" t="n">
        <v>258.37</v>
      </c>
      <c r="U183" s="7" t="n">
        <v>42</v>
      </c>
      <c r="V183" s="9" t="n">
        <v>144789.68</v>
      </c>
      <c r="W183" s="6" t="inlineStr">
        <is>
          <t>2024-08</t>
        </is>
      </c>
    </row>
    <row r="184">
      <c r="A184" s="2" t="inlineStr">
        <is>
          <t>C186</t>
        </is>
      </c>
      <c r="B184" s="2" t="inlineStr">
        <is>
          <t>YouTube Pre-Roll</t>
        </is>
      </c>
      <c r="C184" s="2" t="inlineStr">
        <is>
          <t>Product Launch</t>
        </is>
      </c>
      <c r="D184" s="2" t="inlineStr">
        <is>
          <t>Instagram</t>
        </is>
      </c>
      <c r="E184" s="2" t="inlineStr">
        <is>
          <t>2024-07-17</t>
        </is>
      </c>
      <c r="F184" s="2" t="inlineStr">
        <is>
          <t>2024-07-29</t>
        </is>
      </c>
      <c r="G184" s="2" t="inlineStr">
        <is>
          <t>North</t>
        </is>
      </c>
      <c r="H184" s="2" t="inlineStr">
        <is>
          <t>35-44</t>
        </is>
      </c>
      <c r="I184" s="3" t="n">
        <v>393358</v>
      </c>
      <c r="J184" s="3" t="n">
        <v>16796</v>
      </c>
      <c r="K184" s="4" t="n">
        <v>4.27</v>
      </c>
      <c r="L184" s="3" t="n">
        <v>1288</v>
      </c>
      <c r="M184" s="3" t="n">
        <v>663</v>
      </c>
      <c r="N184" s="4" t="n">
        <v>3.95</v>
      </c>
      <c r="O184" s="5" t="n">
        <v>50727.77</v>
      </c>
      <c r="P184" s="5" t="n">
        <v>76436.82000000001</v>
      </c>
      <c r="Q184" s="4" t="n">
        <v>50.68</v>
      </c>
      <c r="R184" s="5" t="n">
        <v>3.02</v>
      </c>
      <c r="S184" s="5" t="n">
        <v>128.96</v>
      </c>
      <c r="T184" s="5" t="n">
        <v>76.51000000000001</v>
      </c>
      <c r="U184" s="3" t="n">
        <v>12</v>
      </c>
      <c r="V184" s="5" t="n">
        <v>25709.05</v>
      </c>
      <c r="W184" s="2" t="inlineStr">
        <is>
          <t>2024-07</t>
        </is>
      </c>
    </row>
    <row r="185">
      <c r="A185" s="6" t="inlineStr">
        <is>
          <t>C187</t>
        </is>
      </c>
      <c r="B185" s="6" t="inlineStr">
        <is>
          <t>Brand Launch 2024</t>
        </is>
      </c>
      <c r="C185" s="6" t="inlineStr">
        <is>
          <t>Retargeting</t>
        </is>
      </c>
      <c r="D185" s="6" t="inlineStr">
        <is>
          <t>Instagram</t>
        </is>
      </c>
      <c r="E185" s="6" t="inlineStr">
        <is>
          <t>2024-02-02</t>
        </is>
      </c>
      <c r="F185" s="6" t="inlineStr">
        <is>
          <t>2024-02-19</t>
        </is>
      </c>
      <c r="G185" s="6" t="inlineStr">
        <is>
          <t>East</t>
        </is>
      </c>
      <c r="H185" s="6" t="inlineStr">
        <is>
          <t>45-54</t>
        </is>
      </c>
      <c r="I185" s="7" t="n">
        <v>327895</v>
      </c>
      <c r="J185" s="7" t="n">
        <v>9049</v>
      </c>
      <c r="K185" s="8" t="n">
        <v>2.76</v>
      </c>
      <c r="L185" s="7" t="n">
        <v>450</v>
      </c>
      <c r="M185" s="7" t="n">
        <v>203</v>
      </c>
      <c r="N185" s="8" t="n">
        <v>2.24</v>
      </c>
      <c r="O185" s="9" t="n">
        <v>65148.88</v>
      </c>
      <c r="P185" s="9" t="n">
        <v>110219.93</v>
      </c>
      <c r="Q185" s="8" t="n">
        <v>69.18000000000001</v>
      </c>
      <c r="R185" s="9" t="n">
        <v>7.2</v>
      </c>
      <c r="S185" s="9" t="n">
        <v>198.69</v>
      </c>
      <c r="T185" s="9" t="n">
        <v>320.93</v>
      </c>
      <c r="U185" s="7" t="n">
        <v>17</v>
      </c>
      <c r="V185" s="9" t="n">
        <v>45071.05</v>
      </c>
      <c r="W185" s="6" t="inlineStr">
        <is>
          <t>2024-02</t>
        </is>
      </c>
    </row>
    <row r="186">
      <c r="A186" s="2" t="inlineStr">
        <is>
          <t>C188</t>
        </is>
      </c>
      <c r="B186" s="2" t="inlineStr">
        <is>
          <t>Retarget Lost Carts</t>
        </is>
      </c>
      <c r="C186" s="2" t="inlineStr">
        <is>
          <t>Product Launch</t>
        </is>
      </c>
      <c r="D186" s="2" t="inlineStr">
        <is>
          <t>YouTube</t>
        </is>
      </c>
      <c r="E186" s="2" t="inlineStr">
        <is>
          <t>2024-08-22</t>
        </is>
      </c>
      <c r="F186" s="2" t="inlineStr">
        <is>
          <t>2024-09-04</t>
        </is>
      </c>
      <c r="G186" s="2" t="inlineStr">
        <is>
          <t>Central</t>
        </is>
      </c>
      <c r="H186" s="2" t="inlineStr">
        <is>
          <t>55+</t>
        </is>
      </c>
      <c r="I186" s="3" t="n">
        <v>342071</v>
      </c>
      <c r="J186" s="3" t="n">
        <v>4857</v>
      </c>
      <c r="K186" s="4" t="n">
        <v>1.42</v>
      </c>
      <c r="L186" s="3" t="n">
        <v>244</v>
      </c>
      <c r="M186" s="3" t="n">
        <v>150</v>
      </c>
      <c r="N186" s="4" t="n">
        <v>3.09</v>
      </c>
      <c r="O186" s="5" t="n">
        <v>211885.41</v>
      </c>
      <c r="P186" s="5" t="n">
        <v>671523.33</v>
      </c>
      <c r="Q186" s="4" t="n">
        <v>216.93</v>
      </c>
      <c r="R186" s="5" t="n">
        <v>43.62</v>
      </c>
      <c r="S186" s="5" t="n">
        <v>619.42</v>
      </c>
      <c r="T186" s="5" t="n">
        <v>1412.57</v>
      </c>
      <c r="U186" s="3" t="n">
        <v>13</v>
      </c>
      <c r="V186" s="5" t="n">
        <v>459637.92</v>
      </c>
      <c r="W186" s="2" t="inlineStr">
        <is>
          <t>2024-08</t>
        </is>
      </c>
    </row>
    <row r="187">
      <c r="A187" s="6" t="inlineStr">
        <is>
          <t>C189</t>
        </is>
      </c>
      <c r="B187" s="6" t="inlineStr">
        <is>
          <t>Brand Launch 2024</t>
        </is>
      </c>
      <c r="C187" s="6" t="inlineStr">
        <is>
          <t>Retargeting</t>
        </is>
      </c>
      <c r="D187" s="6" t="inlineStr">
        <is>
          <t>LinkedIn</t>
        </is>
      </c>
      <c r="E187" s="6" t="inlineStr">
        <is>
          <t>2024-06-02</t>
        </is>
      </c>
      <c r="F187" s="6" t="inlineStr">
        <is>
          <t>2024-06-29</t>
        </is>
      </c>
      <c r="G187" s="6" t="inlineStr">
        <is>
          <t>West</t>
        </is>
      </c>
      <c r="H187" s="6" t="inlineStr">
        <is>
          <t>55+</t>
        </is>
      </c>
      <c r="I187" s="7" t="n">
        <v>59532</v>
      </c>
      <c r="J187" s="7" t="n">
        <v>2166</v>
      </c>
      <c r="K187" s="8" t="n">
        <v>3.64</v>
      </c>
      <c r="L187" s="7" t="n">
        <v>138</v>
      </c>
      <c r="M187" s="7" t="n">
        <v>86</v>
      </c>
      <c r="N187" s="8" t="n">
        <v>3.97</v>
      </c>
      <c r="O187" s="9" t="n">
        <v>183343.72</v>
      </c>
      <c r="P187" s="9" t="n">
        <v>329922.54</v>
      </c>
      <c r="Q187" s="8" t="n">
        <v>79.95</v>
      </c>
      <c r="R187" s="9" t="n">
        <v>84.65000000000001</v>
      </c>
      <c r="S187" s="9" t="n">
        <v>3079.75</v>
      </c>
      <c r="T187" s="9" t="n">
        <v>2131.9</v>
      </c>
      <c r="U187" s="7" t="n">
        <v>27</v>
      </c>
      <c r="V187" s="9" t="n">
        <v>146578.82</v>
      </c>
      <c r="W187" s="6" t="inlineStr">
        <is>
          <t>2024-06</t>
        </is>
      </c>
    </row>
    <row r="188">
      <c r="A188" s="2" t="inlineStr">
        <is>
          <t>C190</t>
        </is>
      </c>
      <c r="B188" s="2" t="inlineStr">
        <is>
          <t>Awareness Wave</t>
        </is>
      </c>
      <c r="C188" s="2" t="inlineStr">
        <is>
          <t>Product Launch</t>
        </is>
      </c>
      <c r="D188" s="2" t="inlineStr">
        <is>
          <t>YouTube</t>
        </is>
      </c>
      <c r="E188" s="2" t="inlineStr">
        <is>
          <t>2024-07-11</t>
        </is>
      </c>
      <c r="F188" s="2" t="inlineStr">
        <is>
          <t>2024-08-04</t>
        </is>
      </c>
      <c r="G188" s="2" t="inlineStr">
        <is>
          <t>Central</t>
        </is>
      </c>
      <c r="H188" s="2" t="inlineStr">
        <is>
          <t>25-34</t>
        </is>
      </c>
      <c r="I188" s="3" t="n">
        <v>612022</v>
      </c>
      <c r="J188" s="3" t="n">
        <v>9119</v>
      </c>
      <c r="K188" s="4" t="n">
        <v>1.49</v>
      </c>
      <c r="L188" s="3" t="n">
        <v>407</v>
      </c>
      <c r="M188" s="3" t="n">
        <v>279</v>
      </c>
      <c r="N188" s="4" t="n">
        <v>3.06</v>
      </c>
      <c r="O188" s="5" t="n">
        <v>177038.86</v>
      </c>
      <c r="P188" s="5" t="n">
        <v>520898.42</v>
      </c>
      <c r="Q188" s="4" t="n">
        <v>194.23</v>
      </c>
      <c r="R188" s="5" t="n">
        <v>19.41</v>
      </c>
      <c r="S188" s="5" t="n">
        <v>289.27</v>
      </c>
      <c r="T188" s="5" t="n">
        <v>634.55</v>
      </c>
      <c r="U188" s="3" t="n">
        <v>24</v>
      </c>
      <c r="V188" s="5" t="n">
        <v>343859.56</v>
      </c>
      <c r="W188" s="2" t="inlineStr">
        <is>
          <t>2024-07</t>
        </is>
      </c>
    </row>
    <row r="189">
      <c r="A189" s="6" t="inlineStr">
        <is>
          <t>C191</t>
        </is>
      </c>
      <c r="B189" s="6" t="inlineStr">
        <is>
          <t>Loyalty Rewards Campaign</t>
        </is>
      </c>
      <c r="C189" s="6" t="inlineStr">
        <is>
          <t>Product Launch</t>
        </is>
      </c>
      <c r="D189" s="6" t="inlineStr">
        <is>
          <t>Google Ads</t>
        </is>
      </c>
      <c r="E189" s="6" t="inlineStr">
        <is>
          <t>2024-02-05</t>
        </is>
      </c>
      <c r="F189" s="6" t="inlineStr">
        <is>
          <t>2024-03-09</t>
        </is>
      </c>
      <c r="G189" s="6" t="inlineStr">
        <is>
          <t>South</t>
        </is>
      </c>
      <c r="H189" s="6" t="inlineStr">
        <is>
          <t>45-54</t>
        </is>
      </c>
      <c r="I189" s="7" t="n">
        <v>180889</v>
      </c>
      <c r="J189" s="7" t="n">
        <v>8809</v>
      </c>
      <c r="K189" s="8" t="n">
        <v>4.87</v>
      </c>
      <c r="L189" s="7" t="n">
        <v>486</v>
      </c>
      <c r="M189" s="7" t="n">
        <v>318</v>
      </c>
      <c r="N189" s="8" t="n">
        <v>3.61</v>
      </c>
      <c r="O189" s="9" t="n">
        <v>65386.15</v>
      </c>
      <c r="P189" s="9" t="n">
        <v>195752.02</v>
      </c>
      <c r="Q189" s="8" t="n">
        <v>199.38</v>
      </c>
      <c r="R189" s="9" t="n">
        <v>7.42</v>
      </c>
      <c r="S189" s="9" t="n">
        <v>361.47</v>
      </c>
      <c r="T189" s="9" t="n">
        <v>205.62</v>
      </c>
      <c r="U189" s="7" t="n">
        <v>33</v>
      </c>
      <c r="V189" s="9" t="n">
        <v>130365.87</v>
      </c>
      <c r="W189" s="6" t="inlineStr">
        <is>
          <t>2024-02</t>
        </is>
      </c>
    </row>
    <row r="190">
      <c r="A190" s="2" t="inlineStr">
        <is>
          <t>C192</t>
        </is>
      </c>
      <c r="B190" s="2" t="inlineStr">
        <is>
          <t>Win-Back Campaign</t>
        </is>
      </c>
      <c r="C190" s="2" t="inlineStr">
        <is>
          <t>Product Launch</t>
        </is>
      </c>
      <c r="D190" s="2" t="inlineStr">
        <is>
          <t>Google Ads</t>
        </is>
      </c>
      <c r="E190" s="2" t="inlineStr">
        <is>
          <t>2024-07-24</t>
        </is>
      </c>
      <c r="F190" s="2" t="inlineStr">
        <is>
          <t>2024-09-03</t>
        </is>
      </c>
      <c r="G190" s="2" t="inlineStr">
        <is>
          <t>Central</t>
        </is>
      </c>
      <c r="H190" s="2" t="inlineStr">
        <is>
          <t>45-54</t>
        </is>
      </c>
      <c r="I190" s="3" t="n">
        <v>182805</v>
      </c>
      <c r="J190" s="3" t="n">
        <v>15776</v>
      </c>
      <c r="K190" s="4" t="n">
        <v>8.630000000000001</v>
      </c>
      <c r="L190" s="3" t="n">
        <v>1616</v>
      </c>
      <c r="M190" s="3" t="n">
        <v>927</v>
      </c>
      <c r="N190" s="4" t="n">
        <v>5.88</v>
      </c>
      <c r="O190" s="5" t="n">
        <v>50029.81</v>
      </c>
      <c r="P190" s="5" t="n">
        <v>98202.05</v>
      </c>
      <c r="Q190" s="4" t="n">
        <v>96.29000000000001</v>
      </c>
      <c r="R190" s="5" t="n">
        <v>3.17</v>
      </c>
      <c r="S190" s="5" t="n">
        <v>273.68</v>
      </c>
      <c r="T190" s="5" t="n">
        <v>53.97</v>
      </c>
      <c r="U190" s="3" t="n">
        <v>41</v>
      </c>
      <c r="V190" s="5" t="n">
        <v>48172.24</v>
      </c>
      <c r="W190" s="2" t="inlineStr">
        <is>
          <t>2024-07</t>
        </is>
      </c>
    </row>
    <row r="191">
      <c r="A191" s="6" t="inlineStr">
        <is>
          <t>C193</t>
        </is>
      </c>
      <c r="B191" s="6" t="inlineStr">
        <is>
          <t>Flash Sale Weekend</t>
        </is>
      </c>
      <c r="C191" s="6" t="inlineStr">
        <is>
          <t>Seasonal Sale</t>
        </is>
      </c>
      <c r="D191" s="6" t="inlineStr">
        <is>
          <t>Email</t>
        </is>
      </c>
      <c r="E191" s="6" t="inlineStr">
        <is>
          <t>2024-06-30</t>
        </is>
      </c>
      <c r="F191" s="6" t="inlineStr">
        <is>
          <t>2024-07-17</t>
        </is>
      </c>
      <c r="G191" s="6" t="inlineStr">
        <is>
          <t>North</t>
        </is>
      </c>
      <c r="H191" s="6" t="inlineStr">
        <is>
          <t>18-24</t>
        </is>
      </c>
      <c r="I191" s="7" t="n">
        <v>12903</v>
      </c>
      <c r="J191" s="7" t="n">
        <v>2672</v>
      </c>
      <c r="K191" s="8" t="n">
        <v>20.71</v>
      </c>
      <c r="L191" s="7" t="n">
        <v>677</v>
      </c>
      <c r="M191" s="7" t="n">
        <v>332</v>
      </c>
      <c r="N191" s="8" t="n">
        <v>12.43</v>
      </c>
      <c r="O191" s="9" t="n">
        <v>27664.86</v>
      </c>
      <c r="P191" s="9" t="n">
        <v>83297.64</v>
      </c>
      <c r="Q191" s="8" t="n">
        <v>201.1</v>
      </c>
      <c r="R191" s="9" t="n">
        <v>10.35</v>
      </c>
      <c r="S191" s="9" t="n">
        <v>2144.06</v>
      </c>
      <c r="T191" s="9" t="n">
        <v>83.33</v>
      </c>
      <c r="U191" s="7" t="n">
        <v>17</v>
      </c>
      <c r="V191" s="9" t="n">
        <v>55632.78</v>
      </c>
      <c r="W191" s="6" t="inlineStr">
        <is>
          <t>2024-06</t>
        </is>
      </c>
    </row>
    <row r="192">
      <c r="A192" s="2" t="inlineStr">
        <is>
          <t>C194</t>
        </is>
      </c>
      <c r="B192" s="2" t="inlineStr">
        <is>
          <t>Flash Sale Weekend</t>
        </is>
      </c>
      <c r="C192" s="2" t="inlineStr">
        <is>
          <t>Brand Awareness</t>
        </is>
      </c>
      <c r="D192" s="2" t="inlineStr">
        <is>
          <t>Google Ads</t>
        </is>
      </c>
      <c r="E192" s="2" t="inlineStr">
        <is>
          <t>2024-09-18</t>
        </is>
      </c>
      <c r="F192" s="2" t="inlineStr">
        <is>
          <t>2024-10-28</t>
        </is>
      </c>
      <c r="G192" s="2" t="inlineStr">
        <is>
          <t>North</t>
        </is>
      </c>
      <c r="H192" s="2" t="inlineStr">
        <is>
          <t>35-44</t>
        </is>
      </c>
      <c r="I192" s="3" t="n">
        <v>196274</v>
      </c>
      <c r="J192" s="3" t="n">
        <v>13719</v>
      </c>
      <c r="K192" s="4" t="n">
        <v>6.99</v>
      </c>
      <c r="L192" s="3" t="n">
        <v>1146</v>
      </c>
      <c r="M192" s="3" t="n">
        <v>644</v>
      </c>
      <c r="N192" s="4" t="n">
        <v>4.69</v>
      </c>
      <c r="O192" s="5" t="n">
        <v>89917.57000000001</v>
      </c>
      <c r="P192" s="5" t="n">
        <v>245558.87</v>
      </c>
      <c r="Q192" s="4" t="n">
        <v>173.09</v>
      </c>
      <c r="R192" s="5" t="n">
        <v>6.55</v>
      </c>
      <c r="S192" s="5" t="n">
        <v>458.12</v>
      </c>
      <c r="T192" s="5" t="n">
        <v>139.62</v>
      </c>
      <c r="U192" s="3" t="n">
        <v>40</v>
      </c>
      <c r="V192" s="5" t="n">
        <v>155641.3</v>
      </c>
      <c r="W192" s="2" t="inlineStr">
        <is>
          <t>2024-09</t>
        </is>
      </c>
    </row>
    <row r="193">
      <c r="A193" s="6" t="inlineStr">
        <is>
          <t>C195</t>
        </is>
      </c>
      <c r="B193" s="6" t="inlineStr">
        <is>
          <t>Summer Splash Sale</t>
        </is>
      </c>
      <c r="C193" s="6" t="inlineStr">
        <is>
          <t>Seasonal Sale</t>
        </is>
      </c>
      <c r="D193" s="6" t="inlineStr">
        <is>
          <t>YouTube</t>
        </is>
      </c>
      <c r="E193" s="6" t="inlineStr">
        <is>
          <t>2024-09-04</t>
        </is>
      </c>
      <c r="F193" s="6" t="inlineStr">
        <is>
          <t>2024-09-17</t>
        </is>
      </c>
      <c r="G193" s="6" t="inlineStr">
        <is>
          <t>South</t>
        </is>
      </c>
      <c r="H193" s="6" t="inlineStr">
        <is>
          <t>35-44</t>
        </is>
      </c>
      <c r="I193" s="7" t="n">
        <v>509783</v>
      </c>
      <c r="J193" s="7" t="n">
        <v>7901</v>
      </c>
      <c r="K193" s="8" t="n">
        <v>1.55</v>
      </c>
      <c r="L193" s="7" t="n">
        <v>332</v>
      </c>
      <c r="M193" s="7" t="n">
        <v>246</v>
      </c>
      <c r="N193" s="8" t="n">
        <v>3.11</v>
      </c>
      <c r="O193" s="9" t="n">
        <v>91245.72</v>
      </c>
      <c r="P193" s="9" t="n">
        <v>175498.37</v>
      </c>
      <c r="Q193" s="8" t="n">
        <v>92.34</v>
      </c>
      <c r="R193" s="9" t="n">
        <v>11.55</v>
      </c>
      <c r="S193" s="9" t="n">
        <v>178.99</v>
      </c>
      <c r="T193" s="9" t="n">
        <v>370.92</v>
      </c>
      <c r="U193" s="7" t="n">
        <v>13</v>
      </c>
      <c r="V193" s="9" t="n">
        <v>84252.64999999999</v>
      </c>
      <c r="W193" s="6" t="inlineStr">
        <is>
          <t>2024-09</t>
        </is>
      </c>
    </row>
    <row r="194">
      <c r="A194" s="2" t="inlineStr">
        <is>
          <t>C196</t>
        </is>
      </c>
      <c r="B194" s="2" t="inlineStr">
        <is>
          <t>Holiday Countdown</t>
        </is>
      </c>
      <c r="C194" s="2" t="inlineStr">
        <is>
          <t>Seasonal Sale</t>
        </is>
      </c>
      <c r="D194" s="2" t="inlineStr">
        <is>
          <t>Facebook</t>
        </is>
      </c>
      <c r="E194" s="2" t="inlineStr">
        <is>
          <t>2024-02-19</t>
        </is>
      </c>
      <c r="F194" s="2" t="inlineStr">
        <is>
          <t>2024-03-25</t>
        </is>
      </c>
      <c r="G194" s="2" t="inlineStr">
        <is>
          <t>West</t>
        </is>
      </c>
      <c r="H194" s="2" t="inlineStr">
        <is>
          <t>35-44</t>
        </is>
      </c>
      <c r="I194" s="3" t="n">
        <v>269266</v>
      </c>
      <c r="J194" s="3" t="n">
        <v>13544</v>
      </c>
      <c r="K194" s="4" t="n">
        <v>5.03</v>
      </c>
      <c r="L194" s="3" t="n">
        <v>593</v>
      </c>
      <c r="M194" s="3" t="n">
        <v>373</v>
      </c>
      <c r="N194" s="4" t="n">
        <v>2.75</v>
      </c>
      <c r="O194" s="5" t="n">
        <v>36474.49</v>
      </c>
      <c r="P194" s="5" t="n">
        <v>70154.56</v>
      </c>
      <c r="Q194" s="4" t="n">
        <v>92.34</v>
      </c>
      <c r="R194" s="5" t="n">
        <v>2.69</v>
      </c>
      <c r="S194" s="5" t="n">
        <v>135.46</v>
      </c>
      <c r="T194" s="5" t="n">
        <v>97.79000000000001</v>
      </c>
      <c r="U194" s="3" t="n">
        <v>35</v>
      </c>
      <c r="V194" s="5" t="n">
        <v>33680.07</v>
      </c>
      <c r="W194" s="2" t="inlineStr">
        <is>
          <t>2024-02</t>
        </is>
      </c>
    </row>
    <row r="195">
      <c r="A195" s="6" t="inlineStr">
        <is>
          <t>C197</t>
        </is>
      </c>
      <c r="B195" s="6" t="inlineStr">
        <is>
          <t>Lead Gen Q1</t>
        </is>
      </c>
      <c r="C195" s="6" t="inlineStr">
        <is>
          <t>Lead Generation</t>
        </is>
      </c>
      <c r="D195" s="6" t="inlineStr">
        <is>
          <t>Google Ads</t>
        </is>
      </c>
      <c r="E195" s="6" t="inlineStr">
        <is>
          <t>2024-10-09</t>
        </is>
      </c>
      <c r="F195" s="6" t="inlineStr">
        <is>
          <t>2024-10-26</t>
        </is>
      </c>
      <c r="G195" s="6" t="inlineStr">
        <is>
          <t>South</t>
        </is>
      </c>
      <c r="H195" s="6" t="inlineStr">
        <is>
          <t>55+</t>
        </is>
      </c>
      <c r="I195" s="7" t="n">
        <v>136766</v>
      </c>
      <c r="J195" s="7" t="n">
        <v>9423</v>
      </c>
      <c r="K195" s="8" t="n">
        <v>6.89</v>
      </c>
      <c r="L195" s="7" t="n">
        <v>881</v>
      </c>
      <c r="M195" s="7" t="n">
        <v>587</v>
      </c>
      <c r="N195" s="8" t="n">
        <v>6.23</v>
      </c>
      <c r="O195" s="9" t="n">
        <v>97921.75999999999</v>
      </c>
      <c r="P195" s="9" t="n">
        <v>151517.14</v>
      </c>
      <c r="Q195" s="8" t="n">
        <v>54.73</v>
      </c>
      <c r="R195" s="9" t="n">
        <v>10.39</v>
      </c>
      <c r="S195" s="9" t="n">
        <v>715.98</v>
      </c>
      <c r="T195" s="9" t="n">
        <v>166.82</v>
      </c>
      <c r="U195" s="7" t="n">
        <v>17</v>
      </c>
      <c r="V195" s="9" t="n">
        <v>53595.38</v>
      </c>
      <c r="W195" s="6" t="inlineStr">
        <is>
          <t>2024-10</t>
        </is>
      </c>
    </row>
    <row r="196">
      <c r="A196" s="2" t="inlineStr">
        <is>
          <t>C198</t>
        </is>
      </c>
      <c r="B196" s="2" t="inlineStr">
        <is>
          <t>Referral Boost Program</t>
        </is>
      </c>
      <c r="C196" s="2" t="inlineStr">
        <is>
          <t>Product Launch</t>
        </is>
      </c>
      <c r="D196" s="2" t="inlineStr">
        <is>
          <t>YouTube</t>
        </is>
      </c>
      <c r="E196" s="2" t="inlineStr">
        <is>
          <t>2024-04-11</t>
        </is>
      </c>
      <c r="F196" s="2" t="inlineStr">
        <is>
          <t>2024-05-16</t>
        </is>
      </c>
      <c r="G196" s="2" t="inlineStr">
        <is>
          <t>West</t>
        </is>
      </c>
      <c r="H196" s="2" t="inlineStr">
        <is>
          <t>18-24</t>
        </is>
      </c>
      <c r="I196" s="3" t="n">
        <v>650418</v>
      </c>
      <c r="J196" s="3" t="n">
        <v>9886</v>
      </c>
      <c r="K196" s="4" t="n">
        <v>1.52</v>
      </c>
      <c r="L196" s="3" t="n">
        <v>378</v>
      </c>
      <c r="M196" s="3" t="n">
        <v>258</v>
      </c>
      <c r="N196" s="4" t="n">
        <v>2.61</v>
      </c>
      <c r="O196" s="5" t="n">
        <v>274678.04</v>
      </c>
      <c r="P196" s="5" t="n">
        <v>343389.58</v>
      </c>
      <c r="Q196" s="4" t="n">
        <v>25.02</v>
      </c>
      <c r="R196" s="5" t="n">
        <v>27.78</v>
      </c>
      <c r="S196" s="5" t="n">
        <v>422.31</v>
      </c>
      <c r="T196" s="5" t="n">
        <v>1064.64</v>
      </c>
      <c r="U196" s="3" t="n">
        <v>35</v>
      </c>
      <c r="V196" s="5" t="n">
        <v>68711.53999999999</v>
      </c>
      <c r="W196" s="2" t="inlineStr">
        <is>
          <t>2024-04</t>
        </is>
      </c>
    </row>
    <row r="197">
      <c r="A197" s="6" t="inlineStr">
        <is>
          <t>C199</t>
        </is>
      </c>
      <c r="B197" s="6" t="inlineStr">
        <is>
          <t>Awareness Wave</t>
        </is>
      </c>
      <c r="C197" s="6" t="inlineStr">
        <is>
          <t>Seasonal Sale</t>
        </is>
      </c>
      <c r="D197" s="6" t="inlineStr">
        <is>
          <t>Google Ads</t>
        </is>
      </c>
      <c r="E197" s="6" t="inlineStr">
        <is>
          <t>2024-04-10</t>
        </is>
      </c>
      <c r="F197" s="6" t="inlineStr">
        <is>
          <t>2024-05-16</t>
        </is>
      </c>
      <c r="G197" s="6" t="inlineStr">
        <is>
          <t>South</t>
        </is>
      </c>
      <c r="H197" s="6" t="inlineStr">
        <is>
          <t>35-44</t>
        </is>
      </c>
      <c r="I197" s="7" t="n">
        <v>79872</v>
      </c>
      <c r="J197" s="7" t="n">
        <v>4361</v>
      </c>
      <c r="K197" s="8" t="n">
        <v>5.46</v>
      </c>
      <c r="L197" s="7" t="n">
        <v>480</v>
      </c>
      <c r="M197" s="7" t="n">
        <v>255</v>
      </c>
      <c r="N197" s="8" t="n">
        <v>5.85</v>
      </c>
      <c r="O197" s="9" t="n">
        <v>114531.09</v>
      </c>
      <c r="P197" s="9" t="n">
        <v>232811.27</v>
      </c>
      <c r="Q197" s="8" t="n">
        <v>103.27</v>
      </c>
      <c r="R197" s="9" t="n">
        <v>26.26</v>
      </c>
      <c r="S197" s="9" t="n">
        <v>1433.93</v>
      </c>
      <c r="T197" s="9" t="n">
        <v>449.14</v>
      </c>
      <c r="U197" s="7" t="n">
        <v>36</v>
      </c>
      <c r="V197" s="9" t="n">
        <v>118280.18</v>
      </c>
      <c r="W197" s="6" t="inlineStr">
        <is>
          <t>2024-04</t>
        </is>
      </c>
    </row>
    <row r="198">
      <c r="A198" s="2" t="inlineStr">
        <is>
          <t>C200</t>
        </is>
      </c>
      <c r="B198" s="2" t="inlineStr">
        <is>
          <t>Growth Hack Sprint</t>
        </is>
      </c>
      <c r="C198" s="2" t="inlineStr">
        <is>
          <t>Seasonal Sale</t>
        </is>
      </c>
      <c r="D198" s="2" t="inlineStr">
        <is>
          <t>LinkedIn</t>
        </is>
      </c>
      <c r="E198" s="2" t="inlineStr">
        <is>
          <t>2024-08-22</t>
        </is>
      </c>
      <c r="F198" s="2" t="inlineStr">
        <is>
          <t>2024-09-09</t>
        </is>
      </c>
      <c r="G198" s="2" t="inlineStr">
        <is>
          <t>North</t>
        </is>
      </c>
      <c r="H198" s="2" t="inlineStr">
        <is>
          <t>35-44</t>
        </is>
      </c>
      <c r="I198" s="3" t="n">
        <v>73329</v>
      </c>
      <c r="J198" s="3" t="n">
        <v>2273</v>
      </c>
      <c r="K198" s="4" t="n">
        <v>3.1</v>
      </c>
      <c r="L198" s="3" t="n">
        <v>380</v>
      </c>
      <c r="M198" s="3" t="n">
        <v>159</v>
      </c>
      <c r="N198" s="4" t="n">
        <v>7</v>
      </c>
      <c r="O198" s="5" t="n">
        <v>77188.71000000001</v>
      </c>
      <c r="P198" s="5" t="n">
        <v>142926.15</v>
      </c>
      <c r="Q198" s="4" t="n">
        <v>85.16</v>
      </c>
      <c r="R198" s="5" t="n">
        <v>33.96</v>
      </c>
      <c r="S198" s="5" t="n">
        <v>1052.64</v>
      </c>
      <c r="T198" s="5" t="n">
        <v>485.46</v>
      </c>
      <c r="U198" s="3" t="n">
        <v>18</v>
      </c>
      <c r="V198" s="5" t="n">
        <v>65737.44</v>
      </c>
      <c r="W198" s="2" t="inlineStr">
        <is>
          <t>2024-08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16" customWidth="1" min="8" max="8"/>
    <col width="18" customWidth="1" min="9" max="9"/>
    <col width="14" customWidth="1" min="10" max="10"/>
    <col width="14" customWidth="1" min="11" max="11"/>
  </cols>
  <sheetData>
    <row r="2" ht="36" customHeight="1">
      <c r="B2" s="10" t="inlineStr">
        <is>
          <t>📊  Marketing Campaign Performance Dashboard — Summary KPIs</t>
        </is>
      </c>
    </row>
    <row r="3">
      <c r="B3" s="11" t="inlineStr">
        <is>
          <t>Dataset: 197 Campaigns  |  Platforms: 6  |  Period: Jan – Oct 2024</t>
        </is>
      </c>
    </row>
    <row r="5" ht="22" customHeight="1">
      <c r="B5" s="12" t="inlineStr">
        <is>
          <t>💰 Total Spend</t>
        </is>
      </c>
      <c r="D5" s="13" t="inlineStr">
        <is>
          <t>📈 Total Revenue</t>
        </is>
      </c>
      <c r="F5" s="14" t="inlineStr">
        <is>
          <t>🏆 Avg ROI %</t>
        </is>
      </c>
      <c r="H5" s="15" t="inlineStr">
        <is>
          <t>🎯 Avg CTR %</t>
        </is>
      </c>
    </row>
    <row r="6" ht="36" customHeight="1">
      <c r="B6" s="16">
        <f>SUM('Raw Data'!O2:O198)</f>
        <v/>
      </c>
      <c r="D6" s="17">
        <f>SUM('Raw Data'!P2:P198)</f>
        <v/>
      </c>
      <c r="F6" s="18">
        <f>AVERAGE('Raw Data'!Q2:Q198)</f>
        <v/>
      </c>
      <c r="H6" s="19">
        <f>AVERAGE('Raw Data'!K2:K198)</f>
        <v/>
      </c>
    </row>
    <row r="7" ht="8" customHeight="1">
      <c r="B7" s="20" t="n"/>
      <c r="D7" s="20" t="n"/>
      <c r="F7" s="20" t="n"/>
      <c r="H7" s="20" t="n"/>
    </row>
    <row r="9" ht="22" customHeight="1">
      <c r="B9" s="21" t="inlineStr">
        <is>
          <t>✅ Total Conversions</t>
        </is>
      </c>
      <c r="D9" s="22" t="inlineStr">
        <is>
          <t>📣 Impressions (M)</t>
        </is>
      </c>
      <c r="F9" s="23" t="inlineStr">
        <is>
          <t>🧩 Total Leads</t>
        </is>
      </c>
      <c r="H9" s="24" t="inlineStr">
        <is>
          <t>💵 Avg CAC (₹)</t>
        </is>
      </c>
    </row>
    <row r="10" ht="36" customHeight="1">
      <c r="B10" s="25">
        <f>SUM('Raw Data'!M2:M198)</f>
        <v/>
      </c>
      <c r="D10" s="26">
        <f>SUM('Raw Data'!I2:I198)/1000000</f>
        <v/>
      </c>
      <c r="F10" s="27">
        <f>SUM('Raw Data'!L2:L198)</f>
        <v/>
      </c>
      <c r="H10" s="28">
        <f>AVERAGE('Raw Data'!T2:T198)</f>
        <v/>
      </c>
    </row>
    <row r="11" ht="8" customHeight="1">
      <c r="B11" s="20" t="n"/>
      <c r="D11" s="20" t="n"/>
      <c r="F11" s="20" t="n"/>
      <c r="H11" s="20" t="n"/>
    </row>
    <row r="14" ht="26" customHeight="1">
      <c r="B14" s="29" t="inlineStr">
        <is>
          <t>Platform Performance Summary</t>
        </is>
      </c>
    </row>
    <row r="15" ht="24" customHeight="1">
      <c r="B15" s="30" t="inlineStr">
        <is>
          <t>Platform</t>
        </is>
      </c>
      <c r="C15" s="30" t="inlineStr">
        <is>
          <t>Campaigns</t>
        </is>
      </c>
      <c r="D15" s="30" t="inlineStr">
        <is>
          <t>Avg ROI %</t>
        </is>
      </c>
      <c r="E15" s="30" t="inlineStr">
        <is>
          <t>Total Spend (₹)</t>
        </is>
      </c>
      <c r="F15" s="30" t="inlineStr">
        <is>
          <t>Total Revenue (₹)</t>
        </is>
      </c>
      <c r="G15" s="30" t="inlineStr">
        <is>
          <t>Avg CTR %</t>
        </is>
      </c>
      <c r="H15" s="30" t="inlineStr">
        <is>
          <t>Avg Conv Rate %</t>
        </is>
      </c>
      <c r="I15" s="30" t="inlineStr">
        <is>
          <t>Total Conversions</t>
        </is>
      </c>
      <c r="J15" s="30" t="inlineStr">
        <is>
          <t>Avg CAC (₹)</t>
        </is>
      </c>
    </row>
    <row r="16" ht="20" customHeight="1">
      <c r="B16" s="31" t="inlineStr">
        <is>
          <t>YouTube</t>
        </is>
      </c>
      <c r="C16" s="3" t="n">
        <v>42</v>
      </c>
      <c r="D16" s="4" t="n">
        <v>117.83</v>
      </c>
      <c r="E16" s="5" t="n">
        <v>6585509.49</v>
      </c>
      <c r="F16" s="5" t="n">
        <v>14342854.23</v>
      </c>
      <c r="G16" s="4" t="n">
        <v>1.6</v>
      </c>
      <c r="H16" s="4" t="n">
        <v>2.4</v>
      </c>
      <c r="I16" s="3" t="n">
        <v>8831</v>
      </c>
      <c r="J16" s="5" t="n">
        <v>903.1</v>
      </c>
    </row>
    <row r="17" ht="20" customHeight="1">
      <c r="B17" s="32" t="inlineStr">
        <is>
          <t>LinkedIn</t>
        </is>
      </c>
      <c r="C17" s="7" t="n">
        <v>35</v>
      </c>
      <c r="D17" s="8" t="n">
        <v>107.33</v>
      </c>
      <c r="E17" s="9" t="n">
        <v>4660919.48</v>
      </c>
      <c r="F17" s="9" t="n">
        <v>9871488.800000001</v>
      </c>
      <c r="G17" s="8" t="n">
        <v>2.75</v>
      </c>
      <c r="H17" s="8" t="n">
        <v>5.66</v>
      </c>
      <c r="I17" s="7" t="n">
        <v>2857</v>
      </c>
      <c r="J17" s="9" t="n">
        <v>2175.26</v>
      </c>
    </row>
    <row r="18" ht="20" customHeight="1">
      <c r="B18" s="31" t="inlineStr">
        <is>
          <t>Google Ads</t>
        </is>
      </c>
      <c r="C18" s="3" t="n">
        <v>35</v>
      </c>
      <c r="D18" s="4" t="n">
        <v>114.26</v>
      </c>
      <c r="E18" s="5" t="n">
        <v>3117012.1</v>
      </c>
      <c r="F18" s="5" t="n">
        <v>6595582.43</v>
      </c>
      <c r="G18" s="4" t="n">
        <v>6.11</v>
      </c>
      <c r="H18" s="4" t="n">
        <v>4.72</v>
      </c>
      <c r="I18" s="3" t="n">
        <v>12544</v>
      </c>
      <c r="J18" s="5" t="n">
        <v>355.7</v>
      </c>
    </row>
    <row r="19" ht="20" customHeight="1">
      <c r="B19" s="32" t="inlineStr">
        <is>
          <t>Facebook</t>
        </is>
      </c>
      <c r="C19" s="7" t="n">
        <v>36</v>
      </c>
      <c r="D19" s="8" t="n">
        <v>125.12</v>
      </c>
      <c r="E19" s="9" t="n">
        <v>2668764.46</v>
      </c>
      <c r="F19" s="9" t="n">
        <v>5900722.45</v>
      </c>
      <c r="G19" s="8" t="n">
        <v>4.52</v>
      </c>
      <c r="H19" s="8" t="n">
        <v>3.24</v>
      </c>
      <c r="I19" s="7" t="n">
        <v>10297</v>
      </c>
      <c r="J19" s="9" t="n">
        <v>295.99</v>
      </c>
    </row>
    <row r="20" ht="20" customHeight="1">
      <c r="B20" s="31" t="inlineStr">
        <is>
          <t>Instagram</t>
        </is>
      </c>
      <c r="C20" s="3" t="n">
        <v>21</v>
      </c>
      <c r="D20" s="4" t="n">
        <v>121.15</v>
      </c>
      <c r="E20" s="5" t="n">
        <v>1257722.3</v>
      </c>
      <c r="F20" s="5" t="n">
        <v>2822431.48</v>
      </c>
      <c r="G20" s="4" t="n">
        <v>3.58</v>
      </c>
      <c r="H20" s="4" t="n">
        <v>2.94</v>
      </c>
      <c r="I20" s="3" t="n">
        <v>5169</v>
      </c>
      <c r="J20" s="5" t="n">
        <v>337.08</v>
      </c>
    </row>
    <row r="21" ht="20" customHeight="1">
      <c r="B21" s="32" t="inlineStr">
        <is>
          <t>Email</t>
        </is>
      </c>
      <c r="C21" s="7" t="n">
        <v>28</v>
      </c>
      <c r="D21" s="8" t="n">
        <v>155.2</v>
      </c>
      <c r="E21" s="9" t="n">
        <v>531717.11</v>
      </c>
      <c r="F21" s="9" t="n">
        <v>1341690.66</v>
      </c>
      <c r="G21" s="8" t="n">
        <v>19.41</v>
      </c>
      <c r="H21" s="8" t="n">
        <v>11.04</v>
      </c>
      <c r="I21" s="7" t="n">
        <v>17075</v>
      </c>
      <c r="J21" s="9" t="n">
        <v>39.11</v>
      </c>
    </row>
  </sheetData>
  <mergeCells count="27">
    <mergeCell ref="F11:G11"/>
    <mergeCell ref="D10:E10"/>
    <mergeCell ref="B7:C7"/>
    <mergeCell ref="F10:G10"/>
    <mergeCell ref="H10:I10"/>
    <mergeCell ref="F6:G6"/>
    <mergeCell ref="H9:I9"/>
    <mergeCell ref="F7:G7"/>
    <mergeCell ref="D6:E6"/>
    <mergeCell ref="H6:I6"/>
    <mergeCell ref="B11:C11"/>
    <mergeCell ref="D11:E11"/>
    <mergeCell ref="F5:G5"/>
    <mergeCell ref="B3:K3"/>
    <mergeCell ref="H11:I11"/>
    <mergeCell ref="D7:E7"/>
    <mergeCell ref="H7:I7"/>
    <mergeCell ref="B10:C10"/>
    <mergeCell ref="B2:K2"/>
    <mergeCell ref="B9:C9"/>
    <mergeCell ref="D9:E9"/>
    <mergeCell ref="F9:G9"/>
    <mergeCell ref="B6:C6"/>
    <mergeCell ref="B14:K14"/>
    <mergeCell ref="B5:C5"/>
    <mergeCell ref="D5:E5"/>
    <mergeCell ref="H5:I5"/>
  </mergeCells>
  <conditionalFormatting sqref="D16:D21">
    <cfRule type="colorScale" priority="1">
      <colorScale>
        <cfvo type="min"/>
        <cfvo type="max"/>
        <color rgb="00FF6584"/>
        <color rgb="0043E9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12" customWidth="1" min="5" max="5"/>
    <col width="14" customWidth="1" min="6" max="6"/>
    <col width="20" customWidth="1" min="7" max="7"/>
    <col width="14" customWidth="1" min="8" max="8"/>
  </cols>
  <sheetData>
    <row r="1" ht="30" customHeight="1">
      <c r="A1" s="33" t="inlineStr">
        <is>
          <t>Platform Performance Analysis</t>
        </is>
      </c>
    </row>
    <row r="2">
      <c r="A2" s="1" t="inlineStr">
        <is>
          <t>Platform</t>
        </is>
      </c>
      <c r="B2" s="1" t="inlineStr">
        <is>
          <t>Total Spend (₹)</t>
        </is>
      </c>
      <c r="C2" s="1" t="inlineStr">
        <is>
          <t>Total Revenue (₹)</t>
        </is>
      </c>
      <c r="D2" s="1" t="inlineStr">
        <is>
          <t>Avg ROI %</t>
        </is>
      </c>
      <c r="E2" s="1" t="inlineStr">
        <is>
          <t>Avg CTR %</t>
        </is>
      </c>
      <c r="F2" s="1" t="inlineStr">
        <is>
          <t>Avg CPC (₹)</t>
        </is>
      </c>
      <c r="G2" s="1" t="inlineStr">
        <is>
          <t>Total Conversions</t>
        </is>
      </c>
      <c r="H2" s="1" t="inlineStr">
        <is>
          <t>Avg CAC (₹)</t>
        </is>
      </c>
    </row>
    <row r="3">
      <c r="A3" s="32" t="inlineStr">
        <is>
          <t>YouTube</t>
        </is>
      </c>
      <c r="B3" s="9" t="n">
        <v>6585509.49</v>
      </c>
      <c r="C3" s="9" t="n">
        <v>14342854.23</v>
      </c>
      <c r="D3" s="8" t="n">
        <v>117.83</v>
      </c>
      <c r="E3" s="8" t="n">
        <v>1.6</v>
      </c>
      <c r="F3" s="9" t="n">
        <v>20.16</v>
      </c>
      <c r="G3" s="7" t="n">
        <v>8831</v>
      </c>
      <c r="H3" s="9" t="n">
        <v>903.1</v>
      </c>
    </row>
    <row r="4">
      <c r="A4" s="31" t="inlineStr">
        <is>
          <t>LinkedIn</t>
        </is>
      </c>
      <c r="B4" s="5" t="n">
        <v>4660919.48</v>
      </c>
      <c r="C4" s="5" t="n">
        <v>9871488.800000001</v>
      </c>
      <c r="D4" s="4" t="n">
        <v>107.33</v>
      </c>
      <c r="E4" s="4" t="n">
        <v>2.75</v>
      </c>
      <c r="F4" s="5" t="n">
        <v>114.53</v>
      </c>
      <c r="G4" s="3" t="n">
        <v>2857</v>
      </c>
      <c r="H4" s="5" t="n">
        <v>2175.26</v>
      </c>
    </row>
    <row r="5">
      <c r="A5" s="32" t="inlineStr">
        <is>
          <t>Google Ads</t>
        </is>
      </c>
      <c r="B5" s="9" t="n">
        <v>3117012.1</v>
      </c>
      <c r="C5" s="9" t="n">
        <v>6595582.43</v>
      </c>
      <c r="D5" s="8" t="n">
        <v>114.26</v>
      </c>
      <c r="E5" s="8" t="n">
        <v>6.11</v>
      </c>
      <c r="F5" s="9" t="n">
        <v>15.72</v>
      </c>
      <c r="G5" s="7" t="n">
        <v>12544</v>
      </c>
      <c r="H5" s="9" t="n">
        <v>355.7</v>
      </c>
    </row>
    <row r="6">
      <c r="A6" s="31" t="inlineStr">
        <is>
          <t>Facebook</t>
        </is>
      </c>
      <c r="B6" s="5" t="n">
        <v>2668764.46</v>
      </c>
      <c r="C6" s="5" t="n">
        <v>5900722.45</v>
      </c>
      <c r="D6" s="4" t="n">
        <v>125.12</v>
      </c>
      <c r="E6" s="4" t="n">
        <v>4.52</v>
      </c>
      <c r="F6" s="5" t="n">
        <v>9.199999999999999</v>
      </c>
      <c r="G6" s="3" t="n">
        <v>10297</v>
      </c>
      <c r="H6" s="5" t="n">
        <v>295.99</v>
      </c>
    </row>
    <row r="7">
      <c r="A7" s="32" t="inlineStr">
        <is>
          <t>Instagram</t>
        </is>
      </c>
      <c r="B7" s="9" t="n">
        <v>1257722.3</v>
      </c>
      <c r="C7" s="9" t="n">
        <v>2822431.48</v>
      </c>
      <c r="D7" s="8" t="n">
        <v>121.15</v>
      </c>
      <c r="E7" s="8" t="n">
        <v>3.58</v>
      </c>
      <c r="F7" s="9" t="n">
        <v>9.130000000000001</v>
      </c>
      <c r="G7" s="7" t="n">
        <v>5169</v>
      </c>
      <c r="H7" s="9" t="n">
        <v>337.08</v>
      </c>
    </row>
    <row r="8">
      <c r="A8" s="31" t="inlineStr">
        <is>
          <t>Email</t>
        </is>
      </c>
      <c r="B8" s="5" t="n">
        <v>531717.11</v>
      </c>
      <c r="C8" s="5" t="n">
        <v>1341690.66</v>
      </c>
      <c r="D8" s="4" t="n">
        <v>155.2</v>
      </c>
      <c r="E8" s="4" t="n">
        <v>19.41</v>
      </c>
      <c r="F8" s="5" t="n">
        <v>4.18</v>
      </c>
      <c r="G8" s="3" t="n">
        <v>17075</v>
      </c>
      <c r="H8" s="5" t="n">
        <v>39.11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0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33" t="inlineStr">
        <is>
          <t>Regional Campaign Performance</t>
        </is>
      </c>
    </row>
    <row r="2">
      <c r="A2" s="1" t="inlineStr">
        <is>
          <t>Region</t>
        </is>
      </c>
      <c r="B2" s="1" t="inlineStr">
        <is>
          <t>Campaigns</t>
        </is>
      </c>
      <c r="C2" s="1" t="inlineStr">
        <is>
          <t>Total Spend (₹)</t>
        </is>
      </c>
      <c r="D2" s="1" t="inlineStr">
        <is>
          <t>Total Revenue (₹)</t>
        </is>
      </c>
      <c r="E2" s="1" t="inlineStr">
        <is>
          <t>Avg ROI %</t>
        </is>
      </c>
      <c r="F2" s="1" t="inlineStr">
        <is>
          <t>Total Conversions</t>
        </is>
      </c>
      <c r="G2" s="1" t="inlineStr">
        <is>
          <t>Profit (₹)</t>
        </is>
      </c>
    </row>
    <row r="3">
      <c r="A3" s="32" t="inlineStr">
        <is>
          <t>North</t>
        </is>
      </c>
      <c r="B3" s="7" t="n">
        <v>41</v>
      </c>
      <c r="C3" s="9" t="n">
        <v>3922359.48</v>
      </c>
      <c r="D3" s="9" t="n">
        <v>9643462.109999999</v>
      </c>
      <c r="E3" s="8" t="n">
        <v>139.27</v>
      </c>
      <c r="F3" s="7" t="n">
        <v>12773</v>
      </c>
      <c r="G3" s="9" t="n">
        <v>5721102.63</v>
      </c>
    </row>
    <row r="4">
      <c r="A4" s="31" t="inlineStr">
        <is>
          <t>Central</t>
        </is>
      </c>
      <c r="B4" s="3" t="n">
        <v>41</v>
      </c>
      <c r="C4" s="5" t="n">
        <v>3959661.88</v>
      </c>
      <c r="D4" s="5" t="n">
        <v>8787127.949999999</v>
      </c>
      <c r="E4" s="4" t="n">
        <v>122.28</v>
      </c>
      <c r="F4" s="3" t="n">
        <v>13082</v>
      </c>
      <c r="G4" s="5" t="n">
        <v>4827466.07</v>
      </c>
    </row>
    <row r="5">
      <c r="A5" s="32" t="inlineStr">
        <is>
          <t>South</t>
        </is>
      </c>
      <c r="B5" s="7" t="n">
        <v>41</v>
      </c>
      <c r="C5" s="9" t="n">
        <v>3982085.32</v>
      </c>
      <c r="D5" s="9" t="n">
        <v>8688250.25</v>
      </c>
      <c r="E5" s="8" t="n">
        <v>133.84</v>
      </c>
      <c r="F5" s="7" t="n">
        <v>11396</v>
      </c>
      <c r="G5" s="9" t="n">
        <v>4706164.93</v>
      </c>
    </row>
    <row r="6">
      <c r="A6" s="31" t="inlineStr">
        <is>
          <t>East</t>
        </is>
      </c>
      <c r="B6" s="3" t="n">
        <v>39</v>
      </c>
      <c r="C6" s="5" t="n">
        <v>3417085.1</v>
      </c>
      <c r="D6" s="5" t="n">
        <v>7099524.26</v>
      </c>
      <c r="E6" s="4" t="n">
        <v>113.93</v>
      </c>
      <c r="F6" s="3" t="n">
        <v>10346</v>
      </c>
      <c r="G6" s="5" t="n">
        <v>3682439.16</v>
      </c>
    </row>
    <row r="7">
      <c r="A7" s="32" t="inlineStr">
        <is>
          <t>West</t>
        </is>
      </c>
      <c r="B7" s="7" t="n">
        <v>35</v>
      </c>
      <c r="C7" s="9" t="n">
        <v>3540453.16</v>
      </c>
      <c r="D7" s="9" t="n">
        <v>6656405.48</v>
      </c>
      <c r="E7" s="8" t="n">
        <v>98.41</v>
      </c>
      <c r="F7" s="7" t="n">
        <v>9176</v>
      </c>
      <c r="G7" s="9" t="n">
        <v>3115952.32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6" customWidth="1" min="5" max="5"/>
    <col width="20" customWidth="1" min="6" max="6"/>
    <col width="14" customWidth="1" min="7" max="7"/>
  </cols>
  <sheetData>
    <row r="1" ht="30" customHeight="1">
      <c r="A1" s="33" t="inlineStr">
        <is>
          <t>Audience Segment Performance Analysis</t>
        </is>
      </c>
    </row>
    <row r="2">
      <c r="A2" s="1" t="inlineStr">
        <is>
          <t>Audience Segment</t>
        </is>
      </c>
      <c r="B2" s="1" t="inlineStr">
        <is>
          <t>Campaigns</t>
        </is>
      </c>
      <c r="C2" s="1" t="inlineStr">
        <is>
          <t>Avg ROI %</t>
        </is>
      </c>
      <c r="D2" s="1" t="inlineStr">
        <is>
          <t>Total Revenue (₹)</t>
        </is>
      </c>
      <c r="E2" s="1" t="inlineStr">
        <is>
          <t>Avg Conv Rate %</t>
        </is>
      </c>
      <c r="F2" s="1" t="inlineStr">
        <is>
          <t>Total Conversions</t>
        </is>
      </c>
      <c r="G2" s="1" t="inlineStr">
        <is>
          <t>Avg CAC (₹)</t>
        </is>
      </c>
    </row>
    <row r="3">
      <c r="A3" s="32" t="inlineStr">
        <is>
          <t>35-44</t>
        </is>
      </c>
      <c r="B3" s="7" t="n">
        <v>42</v>
      </c>
      <c r="C3" s="8" t="n">
        <v>134.9</v>
      </c>
      <c r="D3" s="9" t="n">
        <v>8093474.59</v>
      </c>
      <c r="E3" s="8" t="n">
        <v>4.7</v>
      </c>
      <c r="F3" s="7" t="n">
        <v>13356</v>
      </c>
      <c r="G3" s="9" t="n">
        <v>531</v>
      </c>
    </row>
    <row r="4">
      <c r="A4" s="31" t="inlineStr">
        <is>
          <t>18-24</t>
        </is>
      </c>
      <c r="B4" s="3" t="n">
        <v>44</v>
      </c>
      <c r="C4" s="4" t="n">
        <v>129.89</v>
      </c>
      <c r="D4" s="5" t="n">
        <v>9453784.66</v>
      </c>
      <c r="E4" s="4" t="n">
        <v>5.21</v>
      </c>
      <c r="F4" s="3" t="n">
        <v>12672</v>
      </c>
      <c r="G4" s="5" t="n">
        <v>790.04</v>
      </c>
    </row>
    <row r="5">
      <c r="A5" s="32" t="inlineStr">
        <is>
          <t>45-54</t>
        </is>
      </c>
      <c r="B5" s="7" t="n">
        <v>41</v>
      </c>
      <c r="C5" s="8" t="n">
        <v>119.05</v>
      </c>
      <c r="D5" s="9" t="n">
        <v>9437725.960000001</v>
      </c>
      <c r="E5" s="8" t="n">
        <v>4.57</v>
      </c>
      <c r="F5" s="7" t="n">
        <v>12360</v>
      </c>
      <c r="G5" s="9" t="n">
        <v>768.48</v>
      </c>
    </row>
    <row r="6">
      <c r="A6" s="31" t="inlineStr">
        <is>
          <t>55+</t>
        </is>
      </c>
      <c r="B6" s="3" t="n">
        <v>33</v>
      </c>
      <c r="C6" s="4" t="n">
        <v>112.19</v>
      </c>
      <c r="D6" s="5" t="n">
        <v>5846687.34</v>
      </c>
      <c r="E6" s="4" t="n">
        <v>5.13</v>
      </c>
      <c r="F6" s="3" t="n">
        <v>9066</v>
      </c>
      <c r="G6" s="5" t="n">
        <v>799.91</v>
      </c>
    </row>
    <row r="7">
      <c r="A7" s="32" t="inlineStr">
        <is>
          <t>25-34</t>
        </is>
      </c>
      <c r="B7" s="7" t="n">
        <v>37</v>
      </c>
      <c r="C7" s="8" t="n">
        <v>111.74</v>
      </c>
      <c r="D7" s="9" t="n">
        <v>8043097.5</v>
      </c>
      <c r="E7" s="8" t="n">
        <v>4.56</v>
      </c>
      <c r="F7" s="7" t="n">
        <v>9319</v>
      </c>
      <c r="G7" s="9" t="n">
        <v>820.9400000000001</v>
      </c>
    </row>
  </sheetData>
  <mergeCells count="1">
    <mergeCell ref="A1:G1"/>
  </mergeCells>
  <conditionalFormatting sqref="C3:C7">
    <cfRule type="dataBar" priority="1">
      <dataBar>
        <cfvo type="min"/>
        <cfvo type="max"/>
        <color rgb="0043E97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2" customWidth="1" min="4" max="4"/>
    <col width="20" customWidth="1" min="5" max="5"/>
    <col width="12" customWidth="1" min="6" max="6"/>
    <col width="12" customWidth="1" min="7" max="7"/>
  </cols>
  <sheetData>
    <row r="1" ht="30" customHeight="1">
      <c r="A1" s="33" t="inlineStr">
        <is>
          <t>Monthly Campaign Performance Trends</t>
        </is>
      </c>
    </row>
    <row r="2">
      <c r="A2" s="1" t="inlineStr">
        <is>
          <t>Month</t>
        </is>
      </c>
      <c r="B2" s="1" t="inlineStr">
        <is>
          <t>Total Spend (₹)</t>
        </is>
      </c>
      <c r="C2" s="1" t="inlineStr">
        <is>
          <t>Total Revenue (₹)</t>
        </is>
      </c>
      <c r="D2" s="1" t="inlineStr">
        <is>
          <t>Avg ROI %</t>
        </is>
      </c>
      <c r="E2" s="1" t="inlineStr">
        <is>
          <t>Total Conversions</t>
        </is>
      </c>
      <c r="F2" s="1" t="inlineStr">
        <is>
          <t>Avg CTR %</t>
        </is>
      </c>
      <c r="G2" s="1" t="inlineStr">
        <is>
          <t>Campaigns</t>
        </is>
      </c>
    </row>
    <row r="3">
      <c r="A3" s="32" t="inlineStr">
        <is>
          <t>2024-01</t>
        </is>
      </c>
      <c r="B3" s="9" t="n">
        <v>1634481.15</v>
      </c>
      <c r="C3" s="9" t="n">
        <v>3689780.57</v>
      </c>
      <c r="D3" s="8" t="n">
        <v>127.83</v>
      </c>
      <c r="E3" s="7" t="n">
        <v>5477</v>
      </c>
      <c r="F3" s="8" t="n">
        <v>6.84</v>
      </c>
      <c r="G3" s="7" t="n">
        <v>16</v>
      </c>
    </row>
    <row r="4">
      <c r="A4" s="31" t="inlineStr">
        <is>
          <t>2024-02</t>
        </is>
      </c>
      <c r="B4" s="5" t="n">
        <v>1653455.05</v>
      </c>
      <c r="C4" s="5" t="n">
        <v>3704908.95</v>
      </c>
      <c r="D4" s="4" t="n">
        <v>128.53</v>
      </c>
      <c r="E4" s="3" t="n">
        <v>4903</v>
      </c>
      <c r="F4" s="4" t="n">
        <v>5.38</v>
      </c>
      <c r="G4" s="3" t="n">
        <v>19</v>
      </c>
    </row>
    <row r="5">
      <c r="A5" s="32" t="inlineStr">
        <is>
          <t>2024-03</t>
        </is>
      </c>
      <c r="B5" s="9" t="n">
        <v>1685301.52</v>
      </c>
      <c r="C5" s="9" t="n">
        <v>3335855.57</v>
      </c>
      <c r="D5" s="8" t="n">
        <v>119.49</v>
      </c>
      <c r="E5" s="7" t="n">
        <v>3471</v>
      </c>
      <c r="F5" s="8" t="n">
        <v>4.21</v>
      </c>
      <c r="G5" s="7" t="n">
        <v>19</v>
      </c>
    </row>
    <row r="6">
      <c r="A6" s="31" t="inlineStr">
        <is>
          <t>2024-04</t>
        </is>
      </c>
      <c r="B6" s="5" t="n">
        <v>1619415.49</v>
      </c>
      <c r="C6" s="5" t="n">
        <v>3469181.69</v>
      </c>
      <c r="D6" s="4" t="n">
        <v>130.48</v>
      </c>
      <c r="E6" s="3" t="n">
        <v>7455</v>
      </c>
      <c r="F6" s="4" t="n">
        <v>8.380000000000001</v>
      </c>
      <c r="G6" s="3" t="n">
        <v>20</v>
      </c>
    </row>
    <row r="7">
      <c r="A7" s="32" t="inlineStr">
        <is>
          <t>2024-05</t>
        </is>
      </c>
      <c r="B7" s="9" t="n">
        <v>1954066.1</v>
      </c>
      <c r="C7" s="9" t="n">
        <v>3973203.09</v>
      </c>
      <c r="D7" s="8" t="n">
        <v>106.71</v>
      </c>
      <c r="E7" s="7" t="n">
        <v>5621</v>
      </c>
      <c r="F7" s="8" t="n">
        <v>5.61</v>
      </c>
      <c r="G7" s="7" t="n">
        <v>20</v>
      </c>
    </row>
    <row r="8">
      <c r="A8" s="31" t="inlineStr">
        <is>
          <t>2024-06</t>
        </is>
      </c>
      <c r="B8" s="5" t="n">
        <v>2751159.27</v>
      </c>
      <c r="C8" s="5" t="n">
        <v>5854434.98</v>
      </c>
      <c r="D8" s="4" t="n">
        <v>115.78</v>
      </c>
      <c r="E8" s="3" t="n">
        <v>4620</v>
      </c>
      <c r="F8" s="4" t="n">
        <v>3.72</v>
      </c>
      <c r="G8" s="3" t="n">
        <v>23</v>
      </c>
    </row>
    <row r="9">
      <c r="A9" s="32" t="inlineStr">
        <is>
          <t>2024-07</t>
        </is>
      </c>
      <c r="B9" s="9" t="n">
        <v>2284818.6</v>
      </c>
      <c r="C9" s="9" t="n">
        <v>5530662.26</v>
      </c>
      <c r="D9" s="8" t="n">
        <v>131.09</v>
      </c>
      <c r="E9" s="7" t="n">
        <v>6725</v>
      </c>
      <c r="F9" s="8" t="n">
        <v>4.52</v>
      </c>
      <c r="G9" s="7" t="n">
        <v>21</v>
      </c>
    </row>
    <row r="10">
      <c r="A10" s="31" t="inlineStr">
        <is>
          <t>2024-08</t>
        </is>
      </c>
      <c r="B10" s="5" t="n">
        <v>1680873.37</v>
      </c>
      <c r="C10" s="5" t="n">
        <v>3650130.83</v>
      </c>
      <c r="D10" s="4" t="n">
        <v>113.88</v>
      </c>
      <c r="E10" s="3" t="n">
        <v>6878</v>
      </c>
      <c r="F10" s="4" t="n">
        <v>8.32</v>
      </c>
      <c r="G10" s="3" t="n">
        <v>21</v>
      </c>
    </row>
    <row r="11">
      <c r="A11" s="32" t="inlineStr">
        <is>
          <t>2024-09</t>
        </is>
      </c>
      <c r="B11" s="9" t="n">
        <v>1527906.29</v>
      </c>
      <c r="C11" s="9" t="n">
        <v>3205355.61</v>
      </c>
      <c r="D11" s="8" t="n">
        <v>114.61</v>
      </c>
      <c r="E11" s="7" t="n">
        <v>5627</v>
      </c>
      <c r="F11" s="8" t="n">
        <v>6.42</v>
      </c>
      <c r="G11" s="7" t="n">
        <v>17</v>
      </c>
    </row>
    <row r="12">
      <c r="A12" s="31" t="inlineStr">
        <is>
          <t>2024-10</t>
        </is>
      </c>
      <c r="B12" s="5" t="n">
        <v>2030168.1</v>
      </c>
      <c r="C12" s="5" t="n">
        <v>4461256.5</v>
      </c>
      <c r="D12" s="4" t="n">
        <v>135.3</v>
      </c>
      <c r="E12" s="3" t="n">
        <v>5996</v>
      </c>
      <c r="F12" s="4" t="n">
        <v>5.83</v>
      </c>
      <c r="G12" s="3" t="n">
        <v>21</v>
      </c>
    </row>
    <row r="13">
      <c r="A13" s="34" t="inlineStr">
        <is>
          <t>TOTAL</t>
        </is>
      </c>
      <c r="B13" s="35">
        <f>SUM(B3:B12)</f>
        <v/>
      </c>
      <c r="C13" s="35">
        <f>SUM(C3:C12)</f>
        <v/>
      </c>
      <c r="D13" s="36">
        <f>AVERAGE(D3:D12)</f>
        <v/>
      </c>
      <c r="E13" s="37">
        <f>SUM(E3:E12)</f>
        <v/>
      </c>
      <c r="F13" s="36">
        <f>AVERAGE(F3:F12)</f>
        <v/>
      </c>
      <c r="G13" s="37">
        <f>SUM(G3:G12)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0" customWidth="1" min="3" max="3"/>
    <col width="48" customWidth="1" min="4" max="4"/>
  </cols>
  <sheetData>
    <row r="1" ht="30" customHeight="1">
      <c r="A1" s="33" t="inlineStr">
        <is>
          <t>Data Dictionary — Marketing Campaign Performance Dataset</t>
        </is>
      </c>
    </row>
    <row r="2">
      <c r="A2" s="30" t="inlineStr">
        <is>
          <t>Column Name</t>
        </is>
      </c>
      <c r="B2" s="30" t="inlineStr">
        <is>
          <t>Data Type</t>
        </is>
      </c>
      <c r="C2" s="30" t="inlineStr">
        <is>
          <t>Description</t>
        </is>
      </c>
      <c r="D2" s="30" t="inlineStr">
        <is>
          <t>Formula / Notes</t>
        </is>
      </c>
    </row>
    <row r="3" ht="20" customHeight="1">
      <c r="A3" s="38" t="inlineStr">
        <is>
          <t>Campaign_ID</t>
        </is>
      </c>
      <c r="B3" s="38" t="inlineStr">
        <is>
          <t>Text</t>
        </is>
      </c>
      <c r="C3" s="38" t="inlineStr">
        <is>
          <t>Unique identifier for each campaign</t>
        </is>
      </c>
      <c r="D3" s="38" t="inlineStr">
        <is>
          <t>Generated: C001–C200</t>
        </is>
      </c>
    </row>
    <row r="4" ht="20" customHeight="1">
      <c r="A4" s="39" t="inlineStr">
        <is>
          <t>Campaign_Name</t>
        </is>
      </c>
      <c r="B4" s="39" t="inlineStr">
        <is>
          <t>Text</t>
        </is>
      </c>
      <c r="C4" s="39" t="inlineStr">
        <is>
          <t>Descriptive name of the campaign</t>
        </is>
      </c>
      <c r="D4" s="39" t="inlineStr">
        <is>
          <t>From a list of 20 campaign names</t>
        </is>
      </c>
    </row>
    <row r="5" ht="20" customHeight="1">
      <c r="A5" s="38" t="inlineStr">
        <is>
          <t>Campaign_Type</t>
        </is>
      </c>
      <c r="B5" s="38" t="inlineStr">
        <is>
          <t>Text</t>
        </is>
      </c>
      <c r="C5" s="38" t="inlineStr">
        <is>
          <t>Type: Brand Awareness / Lead Gen / Retargeting etc</t>
        </is>
      </c>
      <c r="D5" s="38" t="inlineStr">
        <is>
          <t>Categorical</t>
        </is>
      </c>
    </row>
    <row r="6" ht="20" customHeight="1">
      <c r="A6" s="39" t="inlineStr">
        <is>
          <t>Platform</t>
        </is>
      </c>
      <c r="B6" s="39" t="inlineStr">
        <is>
          <t>Text</t>
        </is>
      </c>
      <c r="C6" s="39" t="inlineStr">
        <is>
          <t>Marketing platform used</t>
        </is>
      </c>
      <c r="D6" s="39" t="inlineStr">
        <is>
          <t>Google Ads, Facebook, Instagram, LinkedIn, Email, YouTube</t>
        </is>
      </c>
    </row>
    <row r="7" ht="20" customHeight="1">
      <c r="A7" s="38" t="inlineStr">
        <is>
          <t>Campaign_Start_Date</t>
        </is>
      </c>
      <c r="B7" s="38" t="inlineStr">
        <is>
          <t>Date</t>
        </is>
      </c>
      <c r="C7" s="38" t="inlineStr">
        <is>
          <t>Start date of campaign</t>
        </is>
      </c>
      <c r="D7" s="38" t="inlineStr">
        <is>
          <t>YYYY-MM-DD format</t>
        </is>
      </c>
    </row>
    <row r="8" ht="20" customHeight="1">
      <c r="A8" s="39" t="inlineStr">
        <is>
          <t>Campaign_End_Date</t>
        </is>
      </c>
      <c r="B8" s="39" t="inlineStr">
        <is>
          <t>Date</t>
        </is>
      </c>
      <c r="C8" s="39" t="inlineStr">
        <is>
          <t>End date of campaign</t>
        </is>
      </c>
      <c r="D8" s="39" t="inlineStr">
        <is>
          <t>YYYY-MM-DD format</t>
        </is>
      </c>
    </row>
    <row r="9" ht="20" customHeight="1">
      <c r="A9" s="38" t="inlineStr">
        <is>
          <t>Region</t>
        </is>
      </c>
      <c r="B9" s="38" t="inlineStr">
        <is>
          <t>Text</t>
        </is>
      </c>
      <c r="C9" s="38" t="inlineStr">
        <is>
          <t>Geographic region</t>
        </is>
      </c>
      <c r="D9" s="38" t="inlineStr">
        <is>
          <t>North, South, East, West, Central</t>
        </is>
      </c>
    </row>
    <row r="10" ht="20" customHeight="1">
      <c r="A10" s="39" t="inlineStr">
        <is>
          <t>Audience_Segment</t>
        </is>
      </c>
      <c r="B10" s="39" t="inlineStr">
        <is>
          <t>Text</t>
        </is>
      </c>
      <c r="C10" s="39" t="inlineStr">
        <is>
          <t>Age-based audience segment</t>
        </is>
      </c>
      <c r="D10" s="39" t="inlineStr">
        <is>
          <t>18-24, 25-34, 35-44, 45-54, 55+</t>
        </is>
      </c>
    </row>
    <row r="11" ht="20" customHeight="1">
      <c r="A11" s="38" t="inlineStr">
        <is>
          <t>Impressions</t>
        </is>
      </c>
      <c r="B11" s="38" t="inlineStr">
        <is>
          <t>Integer</t>
        </is>
      </c>
      <c r="C11" s="38" t="inlineStr">
        <is>
          <t>Total number of ad impressions</t>
        </is>
      </c>
      <c r="D11" s="38" t="inlineStr">
        <is>
          <t>Platform-specific realistic ranges</t>
        </is>
      </c>
    </row>
    <row r="12" ht="20" customHeight="1">
      <c r="A12" s="39" t="inlineStr">
        <is>
          <t>Clicks</t>
        </is>
      </c>
      <c r="B12" s="39" t="inlineStr">
        <is>
          <t>Integer</t>
        </is>
      </c>
      <c r="C12" s="39" t="inlineStr">
        <is>
          <t>Total number of ad clicks</t>
        </is>
      </c>
      <c r="D12" s="39">
        <f> Impressions × CTR</f>
        <v/>
      </c>
    </row>
    <row r="13" ht="20" customHeight="1">
      <c r="A13" s="38" t="inlineStr">
        <is>
          <t>CTR_Pct</t>
        </is>
      </c>
      <c r="B13" s="38" t="inlineStr">
        <is>
          <t>Float</t>
        </is>
      </c>
      <c r="C13" s="38" t="inlineStr">
        <is>
          <t>Click-Through Rate percentage</t>
        </is>
      </c>
      <c r="D13" s="38">
        <f> (Clicks / Impressions) × 100</f>
        <v/>
      </c>
    </row>
    <row r="14" ht="20" customHeight="1">
      <c r="A14" s="39" t="inlineStr">
        <is>
          <t>Leads_Generated</t>
        </is>
      </c>
      <c r="B14" s="39" t="inlineStr">
        <is>
          <t>Integer</t>
        </is>
      </c>
      <c r="C14" s="39" t="inlineStr">
        <is>
          <t>Total leads captured by campaign</t>
        </is>
      </c>
      <c r="D14" s="39">
        <f> Conversions × 1.2–2.5 multiplier</f>
        <v/>
      </c>
    </row>
    <row r="15" ht="20" customHeight="1">
      <c r="A15" s="38" t="inlineStr">
        <is>
          <t>Conversions</t>
        </is>
      </c>
      <c r="B15" s="38" t="inlineStr">
        <is>
          <t>Integer</t>
        </is>
      </c>
      <c r="C15" s="38" t="inlineStr">
        <is>
          <t>Total conversions (purchases/sign-ups)</t>
        </is>
      </c>
      <c r="D15" s="38">
        <f> Clicks × Conversion Rate</f>
        <v/>
      </c>
    </row>
    <row r="16" ht="20" customHeight="1">
      <c r="A16" s="39" t="inlineStr">
        <is>
          <t>Conversion_Rate_Pct</t>
        </is>
      </c>
      <c r="B16" s="39" t="inlineStr">
        <is>
          <t>Float</t>
        </is>
      </c>
      <c r="C16" s="39" t="inlineStr">
        <is>
          <t>Conversion Rate percentage</t>
        </is>
      </c>
      <c r="D16" s="39">
        <f> (Conversions / Clicks) × 100</f>
        <v/>
      </c>
    </row>
    <row r="17" ht="20" customHeight="1">
      <c r="A17" s="38" t="inlineStr">
        <is>
          <t>Marketing_Spend</t>
        </is>
      </c>
      <c r="B17" s="38" t="inlineStr">
        <is>
          <t>Float</t>
        </is>
      </c>
      <c r="C17" s="38" t="inlineStr">
        <is>
          <t>Total money spent on campaign (₹)</t>
        </is>
      </c>
      <c r="D17" s="38" t="inlineStr">
        <is>
          <t>Platform-specific ranges</t>
        </is>
      </c>
    </row>
    <row r="18" ht="20" customHeight="1">
      <c r="A18" s="39" t="inlineStr">
        <is>
          <t>Revenue_Generated</t>
        </is>
      </c>
      <c r="B18" s="39" t="inlineStr">
        <is>
          <t>Float</t>
        </is>
      </c>
      <c r="C18" s="39" t="inlineStr">
        <is>
          <t>Revenue attributed to campaign (₹)</t>
        </is>
      </c>
      <c r="D18" s="39">
        <f> Spend × Revenue Multiplier (1.1–3.5×)</f>
        <v/>
      </c>
    </row>
    <row r="19" ht="20" customHeight="1">
      <c r="A19" s="38" t="inlineStr">
        <is>
          <t>ROI_Pct</t>
        </is>
      </c>
      <c r="B19" s="38" t="inlineStr">
        <is>
          <t>Float</t>
        </is>
      </c>
      <c r="C19" s="38" t="inlineStr">
        <is>
          <t>Return on Investment percentage</t>
        </is>
      </c>
      <c r="D19" s="38">
        <f> ((Revenue − Spend) / Spend) × 100</f>
        <v/>
      </c>
    </row>
    <row r="20" ht="20" customHeight="1">
      <c r="A20" s="39" t="inlineStr">
        <is>
          <t>CPC</t>
        </is>
      </c>
      <c r="B20" s="39" t="inlineStr">
        <is>
          <t>Float</t>
        </is>
      </c>
      <c r="C20" s="39" t="inlineStr">
        <is>
          <t>Cost Per Click (₹)</t>
        </is>
      </c>
      <c r="D20" s="39">
        <f> Marketing_Spend / Clicks</f>
        <v/>
      </c>
    </row>
    <row r="21" ht="20" customHeight="1">
      <c r="A21" s="38" t="inlineStr">
        <is>
          <t>CPM</t>
        </is>
      </c>
      <c r="B21" s="38" t="inlineStr">
        <is>
          <t>Float</t>
        </is>
      </c>
      <c r="C21" s="38" t="inlineStr">
        <is>
          <t>Cost Per Mille — per 1000 impressions (₹)</t>
        </is>
      </c>
      <c r="D21" s="38">
        <f> (Marketing_Spend / Impressions) × 1000</f>
        <v/>
      </c>
    </row>
    <row r="22" ht="20" customHeight="1">
      <c r="A22" s="39" t="inlineStr">
        <is>
          <t>CAC</t>
        </is>
      </c>
      <c r="B22" s="39" t="inlineStr">
        <is>
          <t>Float</t>
        </is>
      </c>
      <c r="C22" s="39" t="inlineStr">
        <is>
          <t>Customer Acquisition Cost (₹)</t>
        </is>
      </c>
      <c r="D22" s="39">
        <f> Marketing_Spend / Conversions</f>
        <v/>
      </c>
    </row>
    <row r="23" ht="20" customHeight="1">
      <c r="A23" s="38" t="inlineStr">
        <is>
          <t>Campaign_Duration_Days</t>
        </is>
      </c>
      <c r="B23" s="38" t="inlineStr">
        <is>
          <t>Integer</t>
        </is>
      </c>
      <c r="C23" s="38" t="inlineStr">
        <is>
          <t>Duration of campaign in days</t>
        </is>
      </c>
      <c r="D23" s="38">
        <f> End_Date − Start_Date</f>
        <v/>
      </c>
    </row>
    <row r="24" ht="20" customHeight="1">
      <c r="A24" s="39" t="inlineStr">
        <is>
          <t>Profit</t>
        </is>
      </c>
      <c r="B24" s="39" t="inlineStr">
        <is>
          <t>Float</t>
        </is>
      </c>
      <c r="C24" s="39" t="inlineStr">
        <is>
          <t>Gross profit from campaign (₹)</t>
        </is>
      </c>
      <c r="D24" s="39">
        <f> Revenue_Generated − Marketing_Spend</f>
        <v/>
      </c>
    </row>
    <row r="25" ht="20" customHeight="1">
      <c r="A25" s="38" t="inlineStr">
        <is>
          <t>Month</t>
        </is>
      </c>
      <c r="B25" s="38" t="inlineStr">
        <is>
          <t>Text</t>
        </is>
      </c>
      <c r="C25" s="38" t="inlineStr">
        <is>
          <t>Month of campaign start</t>
        </is>
      </c>
      <c r="D25" s="38" t="inlineStr">
        <is>
          <t>Extracted from Campaign_Start_Date (YYYY-MM)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2026-06-07T20:22:17Z</dcterms:created>
  <dcterms:modified xmlns:dcterms="http://purl.org/dc/terms/" xmlns:xsi="http://www.w3.org/2001/XMLSchema-instance" xsi:type="dcterms:W3CDTF">2026-06-07T20:22:18Z</dcterms:modified>
</cp:coreProperties>
</file>